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iccardo\Documents\My Projects\projects\freelance-hours-tracker\"/>
    </mc:Choice>
  </mc:AlternateContent>
  <xr:revisionPtr revIDLastSave="0" documentId="8_{5016CDFC-3330-4952-9804-F1448BEF493B}" xr6:coauthVersionLast="47" xr6:coauthVersionMax="47" xr10:uidLastSave="{00000000-0000-0000-0000-000000000000}"/>
  <bookViews>
    <workbookView xWindow="-120" yWindow="-120" windowWidth="29040" windowHeight="15720" xr2:uid="{50AD1CBA-2D78-43EF-85C5-774ECD09FA5C}"/>
  </bookViews>
  <sheets>
    <sheet name="Dashboard" sheetId="1" r:id="rId1"/>
    <sheet name="Time Log" sheetId="2" r:id="rId2"/>
    <sheet name="Report" sheetId="3" r:id="rId3"/>
    <sheet name="Summary" sheetId="4" r:id="rId4"/>
    <sheet name="Clients" sheetId="5" r:id="rId5"/>
    <sheet name="Settings" sheetId="6" r:id="rId6"/>
  </sheets>
  <functionGroups builtInGroupCount="19"/>
  <definedNames>
    <definedName name="ClientList">INDEX(tblClients[Client],1):INDEX(tblClients[Client],ROWS(tblClients[Client]))</definedName>
    <definedName name="dbClient">Dashboard!$C$7</definedName>
    <definedName name="dbElapsed">Dashboard!$F$10</definedName>
    <definedName name="dbStatus">Dashboard!$B$5</definedName>
    <definedName name="dbTask">Dashboard!$C$8</definedName>
    <definedName name="_xlnm.Print_Area" localSheetId="2">Report!$B$3:$I$40</definedName>
    <definedName name="_xlnm.Print_Titles" localSheetId="2">Report!$9:$9</definedName>
    <definedName name="stCurrentClient">Settings!$C$11</definedName>
    <definedName name="stCurrentTask">Settings!$C$12</definedName>
    <definedName name="stFreelancerName">Settings!$C$4</definedName>
    <definedName name="stReportShowAmounts">Settings!$C$5</definedName>
    <definedName name="stSilentMode">Settings!$C$13</definedName>
    <definedName name="stStartTime">Settings!$C$10</definedName>
    <definedName name="stTimerStatus">Settings!$C$9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5" i="3" l="1"/>
  <c r="C19" i="4"/>
  <c r="D19" i="4"/>
  <c r="E19" i="4"/>
  <c r="F19" i="4"/>
  <c r="G19" i="4"/>
  <c r="H19" i="4"/>
  <c r="I19" i="4"/>
  <c r="J19" i="4"/>
  <c r="K19" i="4"/>
  <c r="L19" i="4"/>
  <c r="M19" i="4"/>
  <c r="N19" i="4"/>
  <c r="C20" i="4"/>
  <c r="D20" i="4"/>
  <c r="E20" i="4"/>
  <c r="F20" i="4"/>
  <c r="G20" i="4"/>
  <c r="H20" i="4"/>
  <c r="I20" i="4"/>
  <c r="J20" i="4"/>
  <c r="K20" i="4"/>
  <c r="L20" i="4"/>
  <c r="M20" i="4"/>
  <c r="N20" i="4"/>
  <c r="C21" i="4"/>
  <c r="D21" i="4"/>
  <c r="E21" i="4"/>
  <c r="F21" i="4"/>
  <c r="G21" i="4"/>
  <c r="H21" i="4"/>
  <c r="I21" i="4"/>
  <c r="J21" i="4"/>
  <c r="K21" i="4"/>
  <c r="L21" i="4"/>
  <c r="M21" i="4"/>
  <c r="N21" i="4"/>
  <c r="C22" i="4"/>
  <c r="D22" i="4"/>
  <c r="E22" i="4"/>
  <c r="F22" i="4"/>
  <c r="G22" i="4"/>
  <c r="H22" i="4"/>
  <c r="I22" i="4"/>
  <c r="J22" i="4"/>
  <c r="K22" i="4"/>
  <c r="L22" i="4"/>
  <c r="M22" i="4"/>
  <c r="N22" i="4"/>
  <c r="B18" i="4"/>
  <c r="B19" i="4"/>
  <c r="B20" i="4"/>
  <c r="B21" i="4"/>
  <c r="B22" i="4"/>
  <c r="B17" i="4"/>
  <c r="C8" i="4"/>
  <c r="D8" i="4"/>
  <c r="E8" i="4"/>
  <c r="F8" i="4"/>
  <c r="G8" i="4"/>
  <c r="H8" i="4"/>
  <c r="I8" i="4"/>
  <c r="J8" i="4"/>
  <c r="K8" i="4"/>
  <c r="L8" i="4"/>
  <c r="M8" i="4"/>
  <c r="N8" i="4"/>
  <c r="C9" i="4"/>
  <c r="D9" i="4"/>
  <c r="E9" i="4"/>
  <c r="F9" i="4"/>
  <c r="G9" i="4"/>
  <c r="H9" i="4"/>
  <c r="I9" i="4"/>
  <c r="J9" i="4"/>
  <c r="K9" i="4"/>
  <c r="L9" i="4"/>
  <c r="M9" i="4"/>
  <c r="N9" i="4"/>
  <c r="C10" i="4"/>
  <c r="D10" i="4"/>
  <c r="E10" i="4"/>
  <c r="F10" i="4"/>
  <c r="G10" i="4"/>
  <c r="H10" i="4"/>
  <c r="I10" i="4"/>
  <c r="J10" i="4"/>
  <c r="K10" i="4"/>
  <c r="L10" i="4"/>
  <c r="M10" i="4"/>
  <c r="N10" i="4"/>
  <c r="C11" i="4"/>
  <c r="D11" i="4"/>
  <c r="E11" i="4"/>
  <c r="F11" i="4"/>
  <c r="G11" i="4"/>
  <c r="H11" i="4"/>
  <c r="I11" i="4"/>
  <c r="J11" i="4"/>
  <c r="K11" i="4"/>
  <c r="L11" i="4"/>
  <c r="M11" i="4"/>
  <c r="N11" i="4"/>
  <c r="B11" i="4"/>
  <c r="B10" i="4"/>
  <c r="B9" i="4"/>
  <c r="B8" i="4"/>
  <c r="B7" i="4"/>
  <c r="B6" i="4"/>
  <c r="C5" i="4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N6" i="4" s="1"/>
  <c r="G15" i="1"/>
  <c r="G16" i="1"/>
  <c r="G17" i="1"/>
  <c r="F15" i="1"/>
  <c r="F16" i="1"/>
  <c r="F17" i="1"/>
  <c r="G14" i="1"/>
  <c r="F14" i="1"/>
  <c r="E17" i="1"/>
  <c r="E16" i="1"/>
  <c r="E15" i="1"/>
  <c r="E14" i="1"/>
  <c r="C17" i="1"/>
  <c r="C16" i="1"/>
  <c r="C15" i="1"/>
  <c r="C14" i="1"/>
  <c r="B3" i="1"/>
  <c r="G16" i="4" l="1"/>
  <c r="G18" i="4" s="1"/>
  <c r="H16" i="4"/>
  <c r="H17" i="4" s="1"/>
  <c r="N16" i="4"/>
  <c r="L16" i="4"/>
  <c r="K16" i="4"/>
  <c r="M16" i="4"/>
  <c r="G17" i="4"/>
  <c r="G23" i="4" s="1"/>
  <c r="J16" i="4"/>
  <c r="I16" i="4"/>
  <c r="F16" i="4"/>
  <c r="E16" i="4"/>
  <c r="D16" i="4"/>
  <c r="C16" i="4"/>
  <c r="I6" i="4"/>
  <c r="H6" i="4"/>
  <c r="G6" i="4"/>
  <c r="F6" i="4"/>
  <c r="N7" i="4"/>
  <c r="N12" i="4" s="1"/>
  <c r="M7" i="4"/>
  <c r="L7" i="4"/>
  <c r="K6" i="4"/>
  <c r="D7" i="4"/>
  <c r="K7" i="4"/>
  <c r="J7" i="4"/>
  <c r="I7" i="4"/>
  <c r="H7" i="4"/>
  <c r="G7" i="4"/>
  <c r="M6" i="4"/>
  <c r="F7" i="4"/>
  <c r="L6" i="4"/>
  <c r="E7" i="4"/>
  <c r="J6" i="4"/>
  <c r="C7" i="4"/>
  <c r="E6" i="4"/>
  <c r="D6" i="4"/>
  <c r="C6" i="4"/>
  <c r="H18" i="4" l="1"/>
  <c r="H23" i="4" s="1"/>
  <c r="D17" i="4"/>
  <c r="D18" i="4"/>
  <c r="E17" i="4"/>
  <c r="E18" i="4"/>
  <c r="C12" i="4"/>
  <c r="K17" i="4"/>
  <c r="K18" i="4"/>
  <c r="F17" i="4"/>
  <c r="F18" i="4"/>
  <c r="I17" i="4"/>
  <c r="I18" i="4"/>
  <c r="J17" i="4"/>
  <c r="J18" i="4"/>
  <c r="L17" i="4"/>
  <c r="L18" i="4"/>
  <c r="C17" i="4"/>
  <c r="C18" i="4"/>
  <c r="M18" i="4"/>
  <c r="M17" i="4"/>
  <c r="M23" i="4" s="1"/>
  <c r="N17" i="4"/>
  <c r="N18" i="4"/>
  <c r="E12" i="4"/>
  <c r="M12" i="4"/>
  <c r="G12" i="4"/>
  <c r="K12" i="4"/>
  <c r="D12" i="4"/>
  <c r="J12" i="4"/>
  <c r="H12" i="4"/>
  <c r="F12" i="4"/>
  <c r="L12" i="4"/>
  <c r="I12" i="4"/>
  <c r="L23" i="4" l="1"/>
  <c r="N23" i="4"/>
  <c r="I23" i="4"/>
  <c r="J23" i="4"/>
  <c r="K23" i="4"/>
  <c r="E23" i="4"/>
  <c r="D23" i="4"/>
  <c r="F23" i="4"/>
  <c r="C23" i="4"/>
</calcChain>
</file>

<file path=xl/sharedStrings.xml><?xml version="1.0" encoding="utf-8"?>
<sst xmlns="http://schemas.openxmlformats.org/spreadsheetml/2006/main" count="45" uniqueCount="37">
  <si>
    <t>Client</t>
  </si>
  <si>
    <t>Rate</t>
  </si>
  <si>
    <t>Pet Centre</t>
  </si>
  <si>
    <t>Splash Store</t>
  </si>
  <si>
    <t>Add a client: type the name and hourly rate in the next row - the table grows automatically.</t>
  </si>
  <si>
    <t>SETTINGS</t>
  </si>
  <si>
    <t>Your name (shown on reports)</t>
  </si>
  <si>
    <t>Riccardo Tedesco</t>
  </si>
  <si>
    <t>Show rates and amounts on reports</t>
  </si>
  <si>
    <t>INTERNAL - timer state, do not edit</t>
  </si>
  <si>
    <t>Status</t>
  </si>
  <si>
    <t>IDLE</t>
  </si>
  <si>
    <t>Started at</t>
  </si>
  <si>
    <t>Task</t>
  </si>
  <si>
    <t>Silent mode (automated tests only)</t>
  </si>
  <si>
    <t>Date</t>
  </si>
  <si>
    <t>Start</t>
  </si>
  <si>
    <t>End</t>
  </si>
  <si>
    <t>Hours</t>
  </si>
  <si>
    <t>Amount</t>
  </si>
  <si>
    <t>FREELANCE HOURS TRACKER</t>
  </si>
  <si>
    <t>■  IDLE — ready to start</t>
  </si>
  <si>
    <t>0:00:00</t>
  </si>
  <si>
    <t>AT A GLANCE</t>
  </si>
  <si>
    <t>THIS MONTH BY CLIENT</t>
  </si>
  <si>
    <t>Today</t>
  </si>
  <si>
    <t>This week</t>
  </si>
  <si>
    <t>This month</t>
  </si>
  <si>
    <t>Earned this month</t>
  </si>
  <si>
    <t>SUMMARY</t>
  </si>
  <si>
    <t>Total</t>
  </si>
  <si>
    <t>Earnings (€)</t>
  </si>
  <si>
    <t>Screen controls (not printed)</t>
  </si>
  <si>
    <t>TIMESHEET</t>
  </si>
  <si>
    <t>Freelancer:</t>
  </si>
  <si>
    <t>Period:</t>
  </si>
  <si>
    <t>Client: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</si>
</sst>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€&quot;#,##0.00"/>
    <numFmt numFmtId="165" formatCode="dd/mm/yyyy\ hh:mm:ss"/>
    <numFmt numFmtId="166" formatCode="0.00&quot; h&quot;"/>
    <numFmt numFmtId="167" formatCode="&quot;€&quot;#,##0.00;;"/>
    <numFmt numFmtId="168" formatCode="mmm"/>
    <numFmt numFmtId="169" formatCode="0.00;;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i/>
      <sz val="11"/>
      <color rgb="FF6B7280"/>
      <name val="Aptos Narrow"/>
      <family val="2"/>
      <scheme val="minor"/>
    </font>
    <font>
      <b/>
      <sz val="16"/>
      <color rgb="FF1F3864"/>
      <name val="Aptos Narrow"/>
      <family val="2"/>
      <scheme val="minor"/>
    </font>
    <font>
      <b/>
      <sz val="11"/>
      <color rgb="FF6B7280"/>
      <name val="Aptos Narrow"/>
      <family val="2"/>
      <scheme val="minor"/>
    </font>
    <font>
      <sz val="11"/>
      <color rgb="FF6B7280"/>
      <name val="Aptos Narrow"/>
      <family val="2"/>
      <scheme val="minor"/>
    </font>
    <font>
      <b/>
      <sz val="18"/>
      <color rgb="FF1F3864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b/>
      <sz val="22"/>
      <color rgb="FF1F3864"/>
      <name val="Aptos Narrow"/>
      <family val="2"/>
      <scheme val="minor"/>
    </font>
    <font>
      <b/>
      <sz val="10"/>
      <color rgb="FF6B728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3864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6B7280"/>
        <bgColor indexed="64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0" fillId="3" borderId="1" xfId="0" applyFill="1" applyBorder="1" applyProtection="1">
      <protection locked="0"/>
    </xf>
    <xf numFmtId="0" fontId="1" fillId="0" borderId="0" xfId="0" applyFont="1"/>
    <xf numFmtId="0" fontId="5" fillId="0" borderId="0" xfId="0" applyFont="1"/>
    <xf numFmtId="0" fontId="6" fillId="0" borderId="0" xfId="0" applyFont="1"/>
    <xf numFmtId="165" fontId="6" fillId="0" borderId="0" xfId="0" applyNumberFormat="1" applyFont="1"/>
    <xf numFmtId="14" fontId="0" fillId="0" borderId="0" xfId="0" applyNumberFormat="1"/>
    <xf numFmtId="20" fontId="0" fillId="0" borderId="0" xfId="0" applyNumberFormat="1"/>
    <xf numFmtId="2" fontId="0" fillId="0" borderId="0" xfId="0" applyNumberFormat="1"/>
    <xf numFmtId="14" fontId="2" fillId="2" borderId="0" xfId="0" applyNumberFormat="1" applyFont="1" applyFill="1"/>
    <xf numFmtId="20" fontId="2" fillId="2" borderId="0" xfId="0" applyNumberFormat="1" applyFont="1" applyFill="1"/>
    <xf numFmtId="2" fontId="2" fillId="2" borderId="0" xfId="0" applyNumberFormat="1" applyFont="1" applyFill="1"/>
    <xf numFmtId="164" fontId="2" fillId="2" borderId="0" xfId="0" applyNumberFormat="1" applyFont="1" applyFill="1"/>
    <xf numFmtId="0" fontId="7" fillId="0" borderId="0" xfId="0" applyFont="1"/>
    <xf numFmtId="0" fontId="6" fillId="0" borderId="0" xfId="0" applyFont="1"/>
    <xf numFmtId="0" fontId="8" fillId="4" borderId="0" xfId="0" applyFont="1" applyFill="1" applyAlignment="1">
      <alignment horizontal="center" vertical="center"/>
    </xf>
    <xf numFmtId="0" fontId="0" fillId="3" borderId="1" xfId="0" applyFill="1" applyBorder="1" applyProtection="1">
      <protection locked="0"/>
    </xf>
    <xf numFmtId="49" fontId="9" fillId="0" borderId="0" xfId="0" applyNumberFormat="1" applyFont="1" applyAlignment="1">
      <alignment horizontal="center" vertical="center"/>
    </xf>
    <xf numFmtId="0" fontId="10" fillId="0" borderId="0" xfId="0" applyFont="1"/>
    <xf numFmtId="166" fontId="0" fillId="0" borderId="0" xfId="0" applyNumberFormat="1"/>
    <xf numFmtId="167" fontId="0" fillId="0" borderId="0" xfId="0" applyNumberFormat="1"/>
    <xf numFmtId="168" fontId="5" fillId="0" borderId="0" xfId="0" applyNumberFormat="1" applyFont="1" applyAlignment="1">
      <alignment horizontal="center"/>
    </xf>
    <xf numFmtId="169" fontId="0" fillId="0" borderId="0" xfId="0" applyNumberFormat="1"/>
    <xf numFmtId="0" fontId="9" fillId="0" borderId="0" xfId="0" applyFont="1"/>
    <xf numFmtId="0" fontId="3" fillId="0" borderId="0" xfId="0" applyFont="1" applyAlignment="1">
      <alignment horizontal="right"/>
    </xf>
  </cellXfs>
  <cellStyles count="1">
    <cellStyle name="Normal" xfId="0" builtinId="0"/>
  </cellStyles>
  <dxfs count="11">
    <dxf>
      <font>
        <color rgb="FFB91C1C"/>
      </font>
    </dxf>
    <dxf>
      <fill>
        <patternFill>
          <bgColor rgb="FFFEF3C7"/>
        </patternFill>
      </fill>
    </dxf>
    <dxf>
      <font>
        <b/>
        <color rgb="FFFFFFFF"/>
      </font>
      <fill>
        <patternFill patternType="solid">
          <fgColor indexed="64"/>
          <bgColor rgb="FF1F3864"/>
        </patternFill>
      </fill>
    </dxf>
    <dxf>
      <numFmt numFmtId="164" formatCode="&quot;€&quot;#,##0.00"/>
    </dxf>
    <dxf>
      <numFmt numFmtId="164" formatCode="&quot;€&quot;#,##0.00"/>
    </dxf>
    <dxf>
      <numFmt numFmtId="2" formatCode="0.00"/>
    </dxf>
    <dxf>
      <numFmt numFmtId="25" formatCode="hh:mm"/>
    </dxf>
    <dxf>
      <numFmt numFmtId="25" formatCode="hh:mm"/>
    </dxf>
    <dxf>
      <numFmt numFmtId="19" formatCode="dd/mm/yyyy"/>
    </dxf>
    <dxf>
      <font>
        <b/>
        <color rgb="FFFFFFFF"/>
      </font>
      <fill>
        <patternFill patternType="solid">
          <fgColor indexed="64"/>
          <bgColor rgb="FF1F3864"/>
        </patternFill>
      </fill>
    </dxf>
    <dxf>
      <numFmt numFmtId="164" formatCode="&quot;€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Earnings by month (€)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F766E"/>
            </a:solidFill>
            <a:ln>
              <a:noFill/>
            </a:ln>
            <a:effectLst/>
          </c:spPr>
          <c:invertIfNegative val="0"/>
          <c:cat>
            <c:numRef>
              <c:f>Summary!$C$16:$N$16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Summary!$C$23:$N$23</c:f>
              <c:numCache>
                <c:formatCode>"€"#,##0.00;;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4E-4473-84A5-8D54CB881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5557023"/>
        <c:axId val="738416175"/>
      </c:barChart>
      <c:dateAx>
        <c:axId val="875557023"/>
        <c:scaling>
          <c:orientation val="minMax"/>
        </c:scaling>
        <c:delete val="0"/>
        <c:axPos val="b"/>
        <c:numFmt formatCode="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416175"/>
        <c:crosses val="autoZero"/>
        <c:auto val="1"/>
        <c:lblOffset val="100"/>
        <c:baseTimeUnit val="months"/>
      </c:dateAx>
      <c:valAx>
        <c:axId val="73841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;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555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2</xdr:col>
      <xdr:colOff>409575</xdr:colOff>
      <xdr:row>10</xdr:row>
      <xdr:rowOff>279400</xdr:rowOff>
    </xdr:to>
    <xdr:sp macro="modTimer.StartWork" textlink="">
      <xdr:nvSpPr>
        <xdr:cNvPr id="2" name="btnStart">
          <a:extLst>
            <a:ext uri="{FF2B5EF4-FFF2-40B4-BE49-F238E27FC236}">
              <a16:creationId xmlns:a16="http://schemas.microsoft.com/office/drawing/2014/main" id="{F3F41466-EE76-A51A-4A20-1932BE58968F}"/>
            </a:ext>
          </a:extLst>
        </xdr:cNvPr>
        <xdr:cNvSpPr/>
      </xdr:nvSpPr>
      <xdr:spPr>
        <a:xfrm>
          <a:off x="180975" y="2238375"/>
          <a:ext cx="1524000" cy="5842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FFFFFF"/>
              </a:solidFill>
            </a:rPr>
            <a:t>▶  Start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536575</xdr:colOff>
      <xdr:row>10</xdr:row>
      <xdr:rowOff>279400</xdr:rowOff>
    </xdr:to>
    <xdr:sp macro="modTimer.StopAndLog" textlink="">
      <xdr:nvSpPr>
        <xdr:cNvPr id="3" name="btnStop">
          <a:extLst>
            <a:ext uri="{FF2B5EF4-FFF2-40B4-BE49-F238E27FC236}">
              <a16:creationId xmlns:a16="http://schemas.microsoft.com/office/drawing/2014/main" id="{CB0CAD3A-C530-4D76-9249-930E24DA39D0}"/>
            </a:ext>
          </a:extLst>
        </xdr:cNvPr>
        <xdr:cNvSpPr/>
      </xdr:nvSpPr>
      <xdr:spPr>
        <a:xfrm>
          <a:off x="2409825" y="2238375"/>
          <a:ext cx="1651000" cy="584200"/>
        </a:xfrm>
        <a:prstGeom prst="roundRect">
          <a:avLst/>
        </a:prstGeom>
        <a:solidFill>
          <a:srgbClr val="B91C1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FFFFFF"/>
              </a:solidFill>
            </a:rPr>
            <a:t>■  Stop &amp; Log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6</xdr:col>
      <xdr:colOff>336550</xdr:colOff>
      <xdr:row>0</xdr:row>
      <xdr:rowOff>330200</xdr:rowOff>
    </xdr:to>
    <xdr:sp macro="modReport.RefreshPreview" textlink="">
      <xdr:nvSpPr>
        <xdr:cNvPr id="2" name="btnRefresh">
          <a:extLst>
            <a:ext uri="{FF2B5EF4-FFF2-40B4-BE49-F238E27FC236}">
              <a16:creationId xmlns:a16="http://schemas.microsoft.com/office/drawing/2014/main" id="{EBC4E26E-BF0B-C928-8D43-D9480E2476BE}"/>
            </a:ext>
          </a:extLst>
        </xdr:cNvPr>
        <xdr:cNvSpPr/>
      </xdr:nvSpPr>
      <xdr:spPr>
        <a:xfrm>
          <a:off x="4324350" y="0"/>
          <a:ext cx="1498600" cy="330200"/>
        </a:xfrm>
        <a:prstGeom prst="roundRect">
          <a:avLst/>
        </a:prstGeom>
        <a:solidFill>
          <a:srgbClr val="1F386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FFFFFF"/>
              </a:solidFill>
            </a:rPr>
            <a:t>Refresh Preview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101600</xdr:colOff>
      <xdr:row>0</xdr:row>
      <xdr:rowOff>330200</xdr:rowOff>
    </xdr:to>
    <xdr:sp macro="modReport.PromptAndExport" textlink="">
      <xdr:nvSpPr>
        <xdr:cNvPr id="3" name="btnExport">
          <a:extLst>
            <a:ext uri="{FF2B5EF4-FFF2-40B4-BE49-F238E27FC236}">
              <a16:creationId xmlns:a16="http://schemas.microsoft.com/office/drawing/2014/main" id="{14B5DF84-5723-13F3-0347-4CEA2C77919B}"/>
            </a:ext>
          </a:extLst>
        </xdr:cNvPr>
        <xdr:cNvSpPr/>
      </xdr:nvSpPr>
      <xdr:spPr>
        <a:xfrm>
          <a:off x="5486400" y="0"/>
          <a:ext cx="1397000" cy="330200"/>
        </a:xfrm>
        <a:prstGeom prst="roundRect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rgbClr val="FFFFFF"/>
              </a:solidFill>
            </a:rPr>
            <a:t>Export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0</xdr:rowOff>
    </xdr:from>
    <xdr:to>
      <xdr:col>9</xdr:col>
      <xdr:colOff>47625</xdr:colOff>
      <xdr:row>40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1525D6-5CED-0371-A2E2-CB7655DEA4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979F5A-25EB-4D0C-B7F9-C527FE29F82E}" name="tblTimeLog" displayName="tblTimeLog" ref="A1:H2" totalsRowShown="0" headerRowDxfId="2">
  <autoFilter ref="A1:H2" xr:uid="{2A979F5A-25EB-4D0C-B7F9-C527FE29F82E}"/>
  <tableColumns count="8">
    <tableColumn id="1" xr3:uid="{CC3B5FC0-18A7-40E8-865E-74EC329D2B77}" name="Date" dataDxfId="8"/>
    <tableColumn id="2" xr3:uid="{6900ABB0-9EFE-4181-96B1-62E931FF214D}" name="Client"/>
    <tableColumn id="3" xr3:uid="{2656D9D1-4A19-4719-966B-5804F39FD241}" name="Task"/>
    <tableColumn id="4" xr3:uid="{FB16074E-3912-4E41-95B8-B8A86039944B}" name="Start" dataDxfId="7"/>
    <tableColumn id="5" xr3:uid="{1E13F373-F09E-424B-98FA-532871DF0F8D}" name="End" dataDxfId="6"/>
    <tableColumn id="6" xr3:uid="{9FC5214F-75EA-47F6-BCD7-A7DFD9E16F3E}" name="Hours" dataDxfId="5"/>
    <tableColumn id="7" xr3:uid="{5EBB3790-5A60-47E3-8206-093EBF83A769}" name="Rate" dataDxfId="4"/>
    <tableColumn id="8" xr3:uid="{D39240A5-5427-4A14-B44B-D5751A80CFEB}" name="Amount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A790A-10B1-43E3-80A9-E8095460B132}" name="tblClients" displayName="tblClients" ref="A1:B3" totalsRowShown="0" headerRowDxfId="9">
  <autoFilter ref="A1:B3" xr:uid="{516A790A-10B1-43E3-80A9-E8095460B132}"/>
  <tableColumns count="2">
    <tableColumn id="1" xr3:uid="{BE9FEBDA-F9A6-47D0-9E25-1C8959290E7E}" name="Client"/>
    <tableColumn id="2" xr3:uid="{4C4455D8-44F9-49A5-BC6A-7086F42CC30B}" name="Rate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18FE4-54BC-4AFD-84B2-391D03890632}">
  <sheetPr codeName="wshDashboard">
    <tabColor rgb="FF1F3864"/>
  </sheetPr>
  <dimension ref="B2:G17"/>
  <sheetViews>
    <sheetView showGridLines="0" tabSelected="1" workbookViewId="0">
      <selection activeCell="C7" sqref="C7:D7"/>
    </sheetView>
  </sheetViews>
  <sheetFormatPr defaultRowHeight="15" x14ac:dyDescent="0.25"/>
  <cols>
    <col min="1" max="1" width="2.7109375" customWidth="1"/>
    <col min="2" max="4" width="16.7109375" customWidth="1"/>
    <col min="5" max="5" width="15.7109375" customWidth="1"/>
    <col min="6" max="6" width="12.7109375" customWidth="1"/>
    <col min="7" max="7" width="15.7109375" customWidth="1"/>
  </cols>
  <sheetData>
    <row r="2" spans="2:7" ht="24" x14ac:dyDescent="0.4">
      <c r="B2" s="17" t="s">
        <v>20</v>
      </c>
      <c r="C2" s="17"/>
      <c r="D2" s="17"/>
      <c r="E2" s="17"/>
      <c r="F2" s="17"/>
      <c r="G2" s="17"/>
    </row>
    <row r="3" spans="2:7" x14ac:dyDescent="0.25">
      <c r="B3" s="18" t="str">
        <f>stFreelancerName</f>
        <v>Riccardo Tedesco</v>
      </c>
      <c r="C3" s="18"/>
      <c r="D3" s="18"/>
      <c r="E3" s="18"/>
      <c r="F3" s="18"/>
      <c r="G3" s="18"/>
    </row>
    <row r="5" spans="2:7" ht="33.950000000000003" customHeight="1" x14ac:dyDescent="0.25">
      <c r="B5" s="19" t="s">
        <v>21</v>
      </c>
      <c r="C5" s="19"/>
      <c r="D5" s="19"/>
      <c r="E5" s="19"/>
      <c r="F5" s="19"/>
      <c r="G5" s="19"/>
    </row>
    <row r="7" spans="2:7" ht="21.95" customHeight="1" x14ac:dyDescent="0.25">
      <c r="B7" s="6" t="s">
        <v>0</v>
      </c>
      <c r="C7" s="20"/>
      <c r="D7" s="20"/>
    </row>
    <row r="8" spans="2:7" ht="21.95" customHeight="1" x14ac:dyDescent="0.25">
      <c r="B8" s="6" t="s">
        <v>13</v>
      </c>
      <c r="C8" s="20"/>
      <c r="D8" s="20"/>
      <c r="E8" s="20"/>
      <c r="F8" s="20"/>
      <c r="G8" s="20"/>
    </row>
    <row r="10" spans="2:7" ht="24" customHeight="1" x14ac:dyDescent="0.25">
      <c r="F10" s="21" t="s">
        <v>22</v>
      </c>
      <c r="G10" s="21"/>
    </row>
    <row r="11" spans="2:7" ht="24" customHeight="1" x14ac:dyDescent="0.25">
      <c r="F11" s="21"/>
      <c r="G11" s="21"/>
    </row>
    <row r="13" spans="2:7" x14ac:dyDescent="0.25">
      <c r="B13" s="22" t="s">
        <v>23</v>
      </c>
      <c r="E13" s="22" t="s">
        <v>24</v>
      </c>
    </row>
    <row r="14" spans="2:7" x14ac:dyDescent="0.25">
      <c r="B14" s="8" t="s">
        <v>25</v>
      </c>
      <c r="C14" s="23">
        <f ca="1">SUMIFS(tblTimeLog[Hours],tblTimeLog[Date],TODAY())</f>
        <v>0</v>
      </c>
      <c r="E14" t="str">
        <f>IFERROR(INDEX(tblClients[Client],1),"")</f>
        <v>Pet Centre</v>
      </c>
      <c r="F14" s="23">
        <f ca="1">IF($E14="","",SUMIFS(tblTimeLog[Hours],tblTimeLog[Client],$E14,tblTimeLog[Date],"&gt;="&amp;DATE(YEAR(TODAY()),MONTH(TODAY()),1)))</f>
        <v>0</v>
      </c>
      <c r="G14" s="24">
        <f ca="1">IF($E14="","",SUMIFS(tblTimeLog[Amount],tblTimeLog[Client],$E14,tblTimeLog[Date],"&gt;="&amp;DATE(YEAR(TODAY()),MONTH(TODAY()),1)))</f>
        <v>0</v>
      </c>
    </row>
    <row r="15" spans="2:7" x14ac:dyDescent="0.25">
      <c r="B15" s="8" t="s">
        <v>26</v>
      </c>
      <c r="C15" s="23">
        <f ca="1">SUMIFS(tblTimeLog[Hours],tblTimeLog[Date],"&gt;="&amp;(TODAY()-WEEKDAY(TODAY(),2)+1))</f>
        <v>0</v>
      </c>
      <c r="E15" t="str">
        <f>IFERROR(INDEX(tblClients[Client],2),"")</f>
        <v>Splash Store</v>
      </c>
      <c r="F15" s="23">
        <f ca="1">IF($E15="","",SUMIFS(tblTimeLog[Hours],tblTimeLog[Client],$E15,tblTimeLog[Date],"&gt;="&amp;DATE(YEAR(TODAY()),MONTH(TODAY()),1)))</f>
        <v>0</v>
      </c>
      <c r="G15" s="24">
        <f ca="1">IF($E15="","",SUMIFS(tblTimeLog[Amount],tblTimeLog[Client],$E15,tblTimeLog[Date],"&gt;="&amp;DATE(YEAR(TODAY()),MONTH(TODAY()),1)))</f>
        <v>0</v>
      </c>
    </row>
    <row r="16" spans="2:7" x14ac:dyDescent="0.25">
      <c r="B16" s="8" t="s">
        <v>27</v>
      </c>
      <c r="C16" s="23">
        <f ca="1">SUMIFS(tblTimeLog[Hours],tblTimeLog[Date],"&gt;="&amp;DATE(YEAR(TODAY()),MONTH(TODAY()),1))</f>
        <v>0</v>
      </c>
      <c r="E16" t="str">
        <f>IFERROR(INDEX(tblClients[Client],3),"")</f>
        <v/>
      </c>
      <c r="F16" s="23" t="str">
        <f ca="1">IF($E16="","",SUMIFS(tblTimeLog[Hours],tblTimeLog[Client],$E16,tblTimeLog[Date],"&gt;="&amp;DATE(YEAR(TODAY()),MONTH(TODAY()),1)))</f>
        <v/>
      </c>
      <c r="G16" s="24" t="str">
        <f ca="1">IF($E16="","",SUMIFS(tblTimeLog[Amount],tblTimeLog[Client],$E16,tblTimeLog[Date],"&gt;="&amp;DATE(YEAR(TODAY()),MONTH(TODAY()),1)))</f>
        <v/>
      </c>
    </row>
    <row r="17" spans="2:7" x14ac:dyDescent="0.25">
      <c r="B17" s="8" t="s">
        <v>28</v>
      </c>
      <c r="C17" s="1">
        <f ca="1">SUMIFS(tblTimeLog[Amount],tblTimeLog[Date],"&gt;="&amp;DATE(YEAR(TODAY()),MONTH(TODAY()),1))</f>
        <v>0</v>
      </c>
      <c r="E17" t="str">
        <f>IFERROR(INDEX(tblClients[Client],4),"")</f>
        <v/>
      </c>
      <c r="F17" s="23" t="str">
        <f ca="1">IF($E17="","",SUMIFS(tblTimeLog[Hours],tblTimeLog[Client],$E17,tblTimeLog[Date],"&gt;="&amp;DATE(YEAR(TODAY()),MONTH(TODAY()),1)))</f>
        <v/>
      </c>
      <c r="G17" s="24" t="str">
        <f ca="1">IF($E17="","",SUMIFS(tblTimeLog[Amount],tblTimeLog[Client],$E17,tblTimeLog[Date],"&gt;="&amp;DATE(YEAR(TODAY()),MONTH(TODAY()),1)))</f>
        <v/>
      </c>
    </row>
  </sheetData>
  <sheetProtection sheet="1" objects="1" scenarios="1"/>
  <mergeCells count="6">
    <mergeCell ref="B2:G2"/>
    <mergeCell ref="B3:G3"/>
    <mergeCell ref="B5:G5"/>
    <mergeCell ref="C7:D7"/>
    <mergeCell ref="C8:G8"/>
    <mergeCell ref="F10:G11"/>
  </mergeCells>
  <dataValidations count="1">
    <dataValidation type="list" allowBlank="1" showInputMessage="1" showErrorMessage="1" sqref="C7:D7" xr:uid="{28C3F128-B36C-420B-8CA4-C988634F1F83}">
      <formula1>ClientList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C5D54-B233-47D6-B76D-1F10923878AD}">
  <sheetPr codeName="wshTimeLog">
    <tabColor rgb="FF0F766E"/>
  </sheetPr>
  <dimension ref="A1:H1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7109375" style="10" customWidth="1"/>
    <col min="2" max="2" width="16.7109375" customWidth="1"/>
    <col min="3" max="3" width="42.7109375" customWidth="1"/>
    <col min="4" max="5" width="8.7109375" style="11" customWidth="1"/>
    <col min="6" max="6" width="8.7109375" style="12" customWidth="1"/>
    <col min="7" max="7" width="11.7109375" style="1" customWidth="1"/>
    <col min="8" max="8" width="12.7109375" style="1" customWidth="1"/>
  </cols>
  <sheetData>
    <row r="1" spans="1:8" x14ac:dyDescent="0.25">
      <c r="A1" s="13" t="s">
        <v>15</v>
      </c>
      <c r="B1" s="2" t="s">
        <v>0</v>
      </c>
      <c r="C1" s="2" t="s">
        <v>13</v>
      </c>
      <c r="D1" s="14" t="s">
        <v>16</v>
      </c>
      <c r="E1" s="14" t="s">
        <v>17</v>
      </c>
      <c r="F1" s="15" t="s">
        <v>18</v>
      </c>
      <c r="G1" s="16" t="s">
        <v>1</v>
      </c>
      <c r="H1" s="16" t="s">
        <v>19</v>
      </c>
    </row>
  </sheetData>
  <conditionalFormatting sqref="A2:H5000">
    <cfRule type="expression" dxfId="1" priority="1">
      <formula>AND($A2&lt;&gt;"",SUMIFS($F:$F,$A:$A,$A2)&gt;8)</formula>
    </cfRule>
  </conditionalFormatting>
  <conditionalFormatting sqref="F2:F5000">
    <cfRule type="dataBar" priority="2">
      <dataBar>
        <cfvo type="min"/>
        <cfvo type="max"/>
        <color rgb="FF0F766E"/>
      </dataBar>
      <extLst>
        <ext xmlns:x14="http://schemas.microsoft.com/office/spreadsheetml/2009/9/main" uri="{B025F937-C7B1-47D3-B67F-A62EFF666E3E}">
          <x14:id>{EBF739CA-F773-49CC-AD3A-2E45D74BB6E8}</x14:id>
        </ext>
      </extLst>
    </cfRule>
  </conditionalFormatting>
  <conditionalFormatting sqref="A2:A5000">
    <cfRule type="expression" dxfId="0" priority="3">
      <formula>AND($E2&lt;&gt;"",INT($E2)&gt;INT($D2))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F739CA-F773-49CC-AD3A-2E45D74BB6E8}">
            <x14:dataBar minLength="0" maxLength="100" negativeBarColorSameAsPositive="1" axisPosition="none">
              <x14:cfvo type="min"/>
              <x14:cfvo type="max"/>
            </x14:dataBar>
          </x14:cfRule>
          <xm:sqref>F2:F5000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88254-502A-465F-A806-609B5B68AE32}">
  <sheetPr codeName="wshReport">
    <tabColor rgb="FFB45309"/>
    <pageSetUpPr fitToPage="1"/>
  </sheetPr>
  <dimension ref="B1:I600"/>
  <sheetViews>
    <sheetView showGridLines="0" workbookViewId="0"/>
  </sheetViews>
  <sheetFormatPr defaultRowHeight="15" x14ac:dyDescent="0.25"/>
  <cols>
    <col min="1" max="1" width="2.7109375" customWidth="1"/>
    <col min="2" max="2" width="11.7109375" customWidth="1"/>
    <col min="3" max="3" width="15.7109375" customWidth="1"/>
    <col min="4" max="4" width="34.7109375" customWidth="1"/>
    <col min="5" max="7" width="8.7109375" customWidth="1"/>
    <col min="8" max="8" width="10.7109375" customWidth="1"/>
    <col min="9" max="9" width="12.7109375" customWidth="1"/>
  </cols>
  <sheetData>
    <row r="1" spans="2:9" ht="33.950000000000003" customHeight="1" x14ac:dyDescent="0.25">
      <c r="B1" s="3" t="s">
        <v>32</v>
      </c>
    </row>
    <row r="3" spans="2:9" ht="28.5" x14ac:dyDescent="0.45">
      <c r="B3" s="27" t="s">
        <v>33</v>
      </c>
    </row>
    <row r="5" spans="2:9" x14ac:dyDescent="0.25">
      <c r="B5" s="6" t="s">
        <v>34</v>
      </c>
      <c r="C5" t="str">
        <f>stFreelancerName</f>
        <v>Riccardo Tedesco</v>
      </c>
      <c r="G5" s="28"/>
      <c r="H5" s="28"/>
      <c r="I5" s="28"/>
    </row>
    <row r="6" spans="2:9" x14ac:dyDescent="0.25">
      <c r="B6" s="6" t="s">
        <v>35</v>
      </c>
    </row>
    <row r="7" spans="2:9" x14ac:dyDescent="0.25">
      <c r="B7" s="6" t="s">
        <v>36</v>
      </c>
    </row>
    <row r="10" spans="2:9" x14ac:dyDescent="0.25">
      <c r="B10" s="10"/>
      <c r="E10" s="11"/>
      <c r="F10" s="11"/>
      <c r="G10" s="12"/>
      <c r="H10" s="1"/>
      <c r="I10" s="1"/>
    </row>
    <row r="11" spans="2:9" x14ac:dyDescent="0.25">
      <c r="B11" s="10"/>
      <c r="E11" s="11"/>
      <c r="F11" s="11"/>
      <c r="G11" s="12"/>
      <c r="H11" s="1"/>
      <c r="I11" s="1"/>
    </row>
    <row r="12" spans="2:9" x14ac:dyDescent="0.25">
      <c r="B12" s="10"/>
      <c r="E12" s="11"/>
      <c r="F12" s="11"/>
      <c r="G12" s="12"/>
      <c r="H12" s="1"/>
      <c r="I12" s="1"/>
    </row>
    <row r="13" spans="2:9" x14ac:dyDescent="0.25">
      <c r="B13" s="10"/>
      <c r="E13" s="11"/>
      <c r="F13" s="11"/>
      <c r="G13" s="12"/>
      <c r="H13" s="1"/>
      <c r="I13" s="1"/>
    </row>
    <row r="14" spans="2:9" x14ac:dyDescent="0.25">
      <c r="B14" s="10"/>
      <c r="E14" s="11"/>
      <c r="F14" s="11"/>
      <c r="G14" s="12"/>
      <c r="H14" s="1"/>
      <c r="I14" s="1"/>
    </row>
    <row r="15" spans="2:9" x14ac:dyDescent="0.25">
      <c r="B15" s="10"/>
      <c r="E15" s="11"/>
      <c r="F15" s="11"/>
      <c r="G15" s="12"/>
      <c r="H15" s="1"/>
      <c r="I15" s="1"/>
    </row>
    <row r="16" spans="2:9" x14ac:dyDescent="0.25">
      <c r="B16" s="10"/>
      <c r="E16" s="11"/>
      <c r="F16" s="11"/>
      <c r="G16" s="12"/>
      <c r="H16" s="1"/>
      <c r="I16" s="1"/>
    </row>
    <row r="17" spans="2:9" x14ac:dyDescent="0.25">
      <c r="B17" s="10"/>
      <c r="E17" s="11"/>
      <c r="F17" s="11"/>
      <c r="G17" s="12"/>
      <c r="H17" s="1"/>
      <c r="I17" s="1"/>
    </row>
    <row r="18" spans="2:9" x14ac:dyDescent="0.25">
      <c r="B18" s="10"/>
      <c r="E18" s="11"/>
      <c r="F18" s="11"/>
      <c r="G18" s="12"/>
      <c r="H18" s="1"/>
      <c r="I18" s="1"/>
    </row>
    <row r="19" spans="2:9" x14ac:dyDescent="0.25">
      <c r="B19" s="10"/>
      <c r="E19" s="11"/>
      <c r="F19" s="11"/>
      <c r="G19" s="12"/>
      <c r="H19" s="1"/>
      <c r="I19" s="1"/>
    </row>
    <row r="20" spans="2:9" x14ac:dyDescent="0.25">
      <c r="B20" s="10"/>
      <c r="E20" s="11"/>
      <c r="F20" s="11"/>
      <c r="G20" s="12"/>
      <c r="H20" s="1"/>
      <c r="I20" s="1"/>
    </row>
    <row r="21" spans="2:9" x14ac:dyDescent="0.25">
      <c r="B21" s="10"/>
      <c r="E21" s="11"/>
      <c r="F21" s="11"/>
      <c r="G21" s="12"/>
      <c r="H21" s="1"/>
      <c r="I21" s="1"/>
    </row>
    <row r="22" spans="2:9" x14ac:dyDescent="0.25">
      <c r="B22" s="10"/>
      <c r="E22" s="11"/>
      <c r="F22" s="11"/>
      <c r="G22" s="12"/>
      <c r="H22" s="1"/>
      <c r="I22" s="1"/>
    </row>
    <row r="23" spans="2:9" x14ac:dyDescent="0.25">
      <c r="B23" s="10"/>
      <c r="E23" s="11"/>
      <c r="F23" s="11"/>
      <c r="G23" s="12"/>
      <c r="H23" s="1"/>
      <c r="I23" s="1"/>
    </row>
    <row r="24" spans="2:9" x14ac:dyDescent="0.25">
      <c r="B24" s="10"/>
      <c r="E24" s="11"/>
      <c r="F24" s="11"/>
      <c r="G24" s="12"/>
      <c r="H24" s="1"/>
      <c r="I24" s="1"/>
    </row>
    <row r="25" spans="2:9" x14ac:dyDescent="0.25">
      <c r="B25" s="10"/>
      <c r="E25" s="11"/>
      <c r="F25" s="11"/>
      <c r="G25" s="12"/>
      <c r="H25" s="1"/>
      <c r="I25" s="1"/>
    </row>
    <row r="26" spans="2:9" x14ac:dyDescent="0.25">
      <c r="B26" s="10"/>
      <c r="E26" s="11"/>
      <c r="F26" s="11"/>
      <c r="G26" s="12"/>
      <c r="H26" s="1"/>
      <c r="I26" s="1"/>
    </row>
    <row r="27" spans="2:9" x14ac:dyDescent="0.25">
      <c r="B27" s="10"/>
      <c r="E27" s="11"/>
      <c r="F27" s="11"/>
      <c r="G27" s="12"/>
      <c r="H27" s="1"/>
      <c r="I27" s="1"/>
    </row>
    <row r="28" spans="2:9" x14ac:dyDescent="0.25">
      <c r="B28" s="10"/>
      <c r="E28" s="11"/>
      <c r="F28" s="11"/>
      <c r="G28" s="12"/>
      <c r="H28" s="1"/>
      <c r="I28" s="1"/>
    </row>
    <row r="29" spans="2:9" x14ac:dyDescent="0.25">
      <c r="B29" s="10"/>
      <c r="E29" s="11"/>
      <c r="F29" s="11"/>
      <c r="G29" s="12"/>
      <c r="H29" s="1"/>
      <c r="I29" s="1"/>
    </row>
    <row r="30" spans="2:9" x14ac:dyDescent="0.25">
      <c r="B30" s="10"/>
      <c r="E30" s="11"/>
      <c r="F30" s="11"/>
      <c r="G30" s="12"/>
      <c r="H30" s="1"/>
      <c r="I30" s="1"/>
    </row>
    <row r="31" spans="2:9" x14ac:dyDescent="0.25">
      <c r="B31" s="10"/>
      <c r="E31" s="11"/>
      <c r="F31" s="11"/>
      <c r="G31" s="12"/>
      <c r="H31" s="1"/>
      <c r="I31" s="1"/>
    </row>
    <row r="32" spans="2:9" x14ac:dyDescent="0.25">
      <c r="B32" s="10"/>
      <c r="E32" s="11"/>
      <c r="F32" s="11"/>
      <c r="G32" s="12"/>
      <c r="H32" s="1"/>
      <c r="I32" s="1"/>
    </row>
    <row r="33" spans="2:9" x14ac:dyDescent="0.25">
      <c r="B33" s="10"/>
      <c r="E33" s="11"/>
      <c r="F33" s="11"/>
      <c r="G33" s="12"/>
      <c r="H33" s="1"/>
      <c r="I33" s="1"/>
    </row>
    <row r="34" spans="2:9" x14ac:dyDescent="0.25">
      <c r="B34" s="10"/>
      <c r="E34" s="11"/>
      <c r="F34" s="11"/>
      <c r="G34" s="12"/>
      <c r="H34" s="1"/>
      <c r="I34" s="1"/>
    </row>
    <row r="35" spans="2:9" x14ac:dyDescent="0.25">
      <c r="B35" s="10"/>
      <c r="E35" s="11"/>
      <c r="F35" s="11"/>
      <c r="G35" s="12"/>
      <c r="H35" s="1"/>
      <c r="I35" s="1"/>
    </row>
    <row r="36" spans="2:9" x14ac:dyDescent="0.25">
      <c r="B36" s="10"/>
      <c r="E36" s="11"/>
      <c r="F36" s="11"/>
      <c r="G36" s="12"/>
      <c r="H36" s="1"/>
      <c r="I36" s="1"/>
    </row>
    <row r="37" spans="2:9" x14ac:dyDescent="0.25">
      <c r="B37" s="10"/>
      <c r="E37" s="11"/>
      <c r="F37" s="11"/>
      <c r="G37" s="12"/>
      <c r="H37" s="1"/>
      <c r="I37" s="1"/>
    </row>
    <row r="38" spans="2:9" x14ac:dyDescent="0.25">
      <c r="B38" s="10"/>
      <c r="E38" s="11"/>
      <c r="F38" s="11"/>
      <c r="G38" s="12"/>
      <c r="H38" s="1"/>
      <c r="I38" s="1"/>
    </row>
    <row r="39" spans="2:9" x14ac:dyDescent="0.25">
      <c r="B39" s="10"/>
      <c r="E39" s="11"/>
      <c r="F39" s="11"/>
      <c r="G39" s="12"/>
      <c r="H39" s="1"/>
      <c r="I39" s="1"/>
    </row>
    <row r="40" spans="2:9" x14ac:dyDescent="0.25">
      <c r="B40" s="10"/>
      <c r="E40" s="11"/>
      <c r="F40" s="11"/>
      <c r="G40" s="12"/>
      <c r="H40" s="1"/>
      <c r="I40" s="1"/>
    </row>
    <row r="41" spans="2:9" x14ac:dyDescent="0.25">
      <c r="B41" s="10"/>
      <c r="E41" s="11"/>
      <c r="F41" s="11"/>
      <c r="G41" s="12"/>
      <c r="H41" s="1"/>
      <c r="I41" s="1"/>
    </row>
    <row r="42" spans="2:9" x14ac:dyDescent="0.25">
      <c r="B42" s="10"/>
      <c r="E42" s="11"/>
      <c r="F42" s="11"/>
      <c r="G42" s="12"/>
      <c r="H42" s="1"/>
      <c r="I42" s="1"/>
    </row>
    <row r="43" spans="2:9" x14ac:dyDescent="0.25">
      <c r="B43" s="10"/>
      <c r="E43" s="11"/>
      <c r="F43" s="11"/>
      <c r="G43" s="12"/>
      <c r="H43" s="1"/>
      <c r="I43" s="1"/>
    </row>
    <row r="44" spans="2:9" x14ac:dyDescent="0.25">
      <c r="B44" s="10"/>
      <c r="E44" s="11"/>
      <c r="F44" s="11"/>
      <c r="G44" s="12"/>
      <c r="H44" s="1"/>
      <c r="I44" s="1"/>
    </row>
    <row r="45" spans="2:9" x14ac:dyDescent="0.25">
      <c r="B45" s="10"/>
      <c r="E45" s="11"/>
      <c r="F45" s="11"/>
      <c r="G45" s="12"/>
      <c r="H45" s="1"/>
      <c r="I45" s="1"/>
    </row>
    <row r="46" spans="2:9" x14ac:dyDescent="0.25">
      <c r="B46" s="10"/>
      <c r="E46" s="11"/>
      <c r="F46" s="11"/>
      <c r="G46" s="12"/>
      <c r="H46" s="1"/>
      <c r="I46" s="1"/>
    </row>
    <row r="47" spans="2:9" x14ac:dyDescent="0.25">
      <c r="B47" s="10"/>
      <c r="E47" s="11"/>
      <c r="F47" s="11"/>
      <c r="G47" s="12"/>
      <c r="H47" s="1"/>
      <c r="I47" s="1"/>
    </row>
    <row r="48" spans="2:9" x14ac:dyDescent="0.25">
      <c r="B48" s="10"/>
      <c r="E48" s="11"/>
      <c r="F48" s="11"/>
      <c r="G48" s="12"/>
      <c r="H48" s="1"/>
      <c r="I48" s="1"/>
    </row>
    <row r="49" spans="2:9" x14ac:dyDescent="0.25">
      <c r="B49" s="10"/>
      <c r="E49" s="11"/>
      <c r="F49" s="11"/>
      <c r="G49" s="12"/>
      <c r="H49" s="1"/>
      <c r="I49" s="1"/>
    </row>
    <row r="50" spans="2:9" x14ac:dyDescent="0.25">
      <c r="B50" s="10"/>
      <c r="E50" s="11"/>
      <c r="F50" s="11"/>
      <c r="G50" s="12"/>
      <c r="H50" s="1"/>
      <c r="I50" s="1"/>
    </row>
    <row r="51" spans="2:9" x14ac:dyDescent="0.25">
      <c r="B51" s="10"/>
      <c r="E51" s="11"/>
      <c r="F51" s="11"/>
      <c r="G51" s="12"/>
      <c r="H51" s="1"/>
      <c r="I51" s="1"/>
    </row>
    <row r="52" spans="2:9" x14ac:dyDescent="0.25">
      <c r="B52" s="10"/>
      <c r="E52" s="11"/>
      <c r="F52" s="11"/>
      <c r="G52" s="12"/>
      <c r="H52" s="1"/>
      <c r="I52" s="1"/>
    </row>
    <row r="53" spans="2:9" x14ac:dyDescent="0.25">
      <c r="B53" s="10"/>
      <c r="E53" s="11"/>
      <c r="F53" s="11"/>
      <c r="G53" s="12"/>
      <c r="H53" s="1"/>
      <c r="I53" s="1"/>
    </row>
    <row r="54" spans="2:9" x14ac:dyDescent="0.25">
      <c r="B54" s="10"/>
      <c r="E54" s="11"/>
      <c r="F54" s="11"/>
      <c r="G54" s="12"/>
      <c r="H54" s="1"/>
      <c r="I54" s="1"/>
    </row>
    <row r="55" spans="2:9" x14ac:dyDescent="0.25">
      <c r="B55" s="10"/>
      <c r="E55" s="11"/>
      <c r="F55" s="11"/>
      <c r="G55" s="12"/>
      <c r="H55" s="1"/>
      <c r="I55" s="1"/>
    </row>
    <row r="56" spans="2:9" x14ac:dyDescent="0.25">
      <c r="B56" s="10"/>
      <c r="E56" s="11"/>
      <c r="F56" s="11"/>
      <c r="G56" s="12"/>
      <c r="H56" s="1"/>
      <c r="I56" s="1"/>
    </row>
    <row r="57" spans="2:9" x14ac:dyDescent="0.25">
      <c r="B57" s="10"/>
      <c r="E57" s="11"/>
      <c r="F57" s="11"/>
      <c r="G57" s="12"/>
      <c r="H57" s="1"/>
      <c r="I57" s="1"/>
    </row>
    <row r="58" spans="2:9" x14ac:dyDescent="0.25">
      <c r="B58" s="10"/>
      <c r="E58" s="11"/>
      <c r="F58" s="11"/>
      <c r="G58" s="12"/>
      <c r="H58" s="1"/>
      <c r="I58" s="1"/>
    </row>
    <row r="59" spans="2:9" x14ac:dyDescent="0.25">
      <c r="B59" s="10"/>
      <c r="E59" s="11"/>
      <c r="F59" s="11"/>
      <c r="G59" s="12"/>
      <c r="H59" s="1"/>
      <c r="I59" s="1"/>
    </row>
    <row r="60" spans="2:9" x14ac:dyDescent="0.25">
      <c r="B60" s="10"/>
      <c r="E60" s="11"/>
      <c r="F60" s="11"/>
      <c r="G60" s="12"/>
      <c r="H60" s="1"/>
      <c r="I60" s="1"/>
    </row>
    <row r="61" spans="2:9" x14ac:dyDescent="0.25">
      <c r="B61" s="10"/>
      <c r="E61" s="11"/>
      <c r="F61" s="11"/>
      <c r="G61" s="12"/>
      <c r="H61" s="1"/>
      <c r="I61" s="1"/>
    </row>
    <row r="62" spans="2:9" x14ac:dyDescent="0.25">
      <c r="B62" s="10"/>
      <c r="E62" s="11"/>
      <c r="F62" s="11"/>
      <c r="G62" s="12"/>
      <c r="H62" s="1"/>
      <c r="I62" s="1"/>
    </row>
    <row r="63" spans="2:9" x14ac:dyDescent="0.25">
      <c r="B63" s="10"/>
      <c r="E63" s="11"/>
      <c r="F63" s="11"/>
      <c r="G63" s="12"/>
      <c r="H63" s="1"/>
      <c r="I63" s="1"/>
    </row>
    <row r="64" spans="2:9" x14ac:dyDescent="0.25">
      <c r="B64" s="10"/>
      <c r="E64" s="11"/>
      <c r="F64" s="11"/>
      <c r="G64" s="12"/>
      <c r="H64" s="1"/>
      <c r="I64" s="1"/>
    </row>
    <row r="65" spans="2:9" x14ac:dyDescent="0.25">
      <c r="B65" s="10"/>
      <c r="E65" s="11"/>
      <c r="F65" s="11"/>
      <c r="G65" s="12"/>
      <c r="H65" s="1"/>
      <c r="I65" s="1"/>
    </row>
    <row r="66" spans="2:9" x14ac:dyDescent="0.25">
      <c r="B66" s="10"/>
      <c r="E66" s="11"/>
      <c r="F66" s="11"/>
      <c r="G66" s="12"/>
      <c r="H66" s="1"/>
      <c r="I66" s="1"/>
    </row>
    <row r="67" spans="2:9" x14ac:dyDescent="0.25">
      <c r="B67" s="10"/>
      <c r="E67" s="11"/>
      <c r="F67" s="11"/>
      <c r="G67" s="12"/>
      <c r="H67" s="1"/>
      <c r="I67" s="1"/>
    </row>
    <row r="68" spans="2:9" x14ac:dyDescent="0.25">
      <c r="B68" s="10"/>
      <c r="E68" s="11"/>
      <c r="F68" s="11"/>
      <c r="G68" s="12"/>
      <c r="H68" s="1"/>
      <c r="I68" s="1"/>
    </row>
    <row r="69" spans="2:9" x14ac:dyDescent="0.25">
      <c r="B69" s="10"/>
      <c r="E69" s="11"/>
      <c r="F69" s="11"/>
      <c r="G69" s="12"/>
      <c r="H69" s="1"/>
      <c r="I69" s="1"/>
    </row>
    <row r="70" spans="2:9" x14ac:dyDescent="0.25">
      <c r="B70" s="10"/>
      <c r="E70" s="11"/>
      <c r="F70" s="11"/>
      <c r="G70" s="12"/>
      <c r="H70" s="1"/>
      <c r="I70" s="1"/>
    </row>
    <row r="71" spans="2:9" x14ac:dyDescent="0.25">
      <c r="B71" s="10"/>
      <c r="E71" s="11"/>
      <c r="F71" s="11"/>
      <c r="G71" s="12"/>
      <c r="H71" s="1"/>
      <c r="I71" s="1"/>
    </row>
    <row r="72" spans="2:9" x14ac:dyDescent="0.25">
      <c r="B72" s="10"/>
      <c r="E72" s="11"/>
      <c r="F72" s="11"/>
      <c r="G72" s="12"/>
      <c r="H72" s="1"/>
      <c r="I72" s="1"/>
    </row>
    <row r="73" spans="2:9" x14ac:dyDescent="0.25">
      <c r="B73" s="10"/>
      <c r="E73" s="11"/>
      <c r="F73" s="11"/>
      <c r="G73" s="12"/>
      <c r="H73" s="1"/>
      <c r="I73" s="1"/>
    </row>
    <row r="74" spans="2:9" x14ac:dyDescent="0.25">
      <c r="B74" s="10"/>
      <c r="E74" s="11"/>
      <c r="F74" s="11"/>
      <c r="G74" s="12"/>
      <c r="H74" s="1"/>
      <c r="I74" s="1"/>
    </row>
    <row r="75" spans="2:9" x14ac:dyDescent="0.25">
      <c r="B75" s="10"/>
      <c r="E75" s="11"/>
      <c r="F75" s="11"/>
      <c r="G75" s="12"/>
      <c r="H75" s="1"/>
      <c r="I75" s="1"/>
    </row>
    <row r="76" spans="2:9" x14ac:dyDescent="0.25">
      <c r="B76" s="10"/>
      <c r="E76" s="11"/>
      <c r="F76" s="11"/>
      <c r="G76" s="12"/>
      <c r="H76" s="1"/>
      <c r="I76" s="1"/>
    </row>
    <row r="77" spans="2:9" x14ac:dyDescent="0.25">
      <c r="B77" s="10"/>
      <c r="E77" s="11"/>
      <c r="F77" s="11"/>
      <c r="G77" s="12"/>
      <c r="H77" s="1"/>
      <c r="I77" s="1"/>
    </row>
    <row r="78" spans="2:9" x14ac:dyDescent="0.25">
      <c r="B78" s="10"/>
      <c r="E78" s="11"/>
      <c r="F78" s="11"/>
      <c r="G78" s="12"/>
      <c r="H78" s="1"/>
      <c r="I78" s="1"/>
    </row>
    <row r="79" spans="2:9" x14ac:dyDescent="0.25">
      <c r="B79" s="10"/>
      <c r="E79" s="11"/>
      <c r="F79" s="11"/>
      <c r="G79" s="12"/>
      <c r="H79" s="1"/>
      <c r="I79" s="1"/>
    </row>
    <row r="80" spans="2:9" x14ac:dyDescent="0.25">
      <c r="B80" s="10"/>
      <c r="E80" s="11"/>
      <c r="F80" s="11"/>
      <c r="G80" s="12"/>
      <c r="H80" s="1"/>
      <c r="I80" s="1"/>
    </row>
    <row r="81" spans="2:9" x14ac:dyDescent="0.25">
      <c r="B81" s="10"/>
      <c r="E81" s="11"/>
      <c r="F81" s="11"/>
      <c r="G81" s="12"/>
      <c r="H81" s="1"/>
      <c r="I81" s="1"/>
    </row>
    <row r="82" spans="2:9" x14ac:dyDescent="0.25">
      <c r="B82" s="10"/>
      <c r="E82" s="11"/>
      <c r="F82" s="11"/>
      <c r="G82" s="12"/>
      <c r="H82" s="1"/>
      <c r="I82" s="1"/>
    </row>
    <row r="83" spans="2:9" x14ac:dyDescent="0.25">
      <c r="B83" s="10"/>
      <c r="E83" s="11"/>
      <c r="F83" s="11"/>
      <c r="G83" s="12"/>
      <c r="H83" s="1"/>
      <c r="I83" s="1"/>
    </row>
    <row r="84" spans="2:9" x14ac:dyDescent="0.25">
      <c r="B84" s="10"/>
      <c r="E84" s="11"/>
      <c r="F84" s="11"/>
      <c r="G84" s="12"/>
      <c r="H84" s="1"/>
      <c r="I84" s="1"/>
    </row>
    <row r="85" spans="2:9" x14ac:dyDescent="0.25">
      <c r="B85" s="10"/>
      <c r="E85" s="11"/>
      <c r="F85" s="11"/>
      <c r="G85" s="12"/>
      <c r="H85" s="1"/>
      <c r="I85" s="1"/>
    </row>
    <row r="86" spans="2:9" x14ac:dyDescent="0.25">
      <c r="B86" s="10"/>
      <c r="E86" s="11"/>
      <c r="F86" s="11"/>
      <c r="G86" s="12"/>
      <c r="H86" s="1"/>
      <c r="I86" s="1"/>
    </row>
    <row r="87" spans="2:9" x14ac:dyDescent="0.25">
      <c r="B87" s="10"/>
      <c r="E87" s="11"/>
      <c r="F87" s="11"/>
      <c r="G87" s="12"/>
      <c r="H87" s="1"/>
      <c r="I87" s="1"/>
    </row>
    <row r="88" spans="2:9" x14ac:dyDescent="0.25">
      <c r="B88" s="10"/>
      <c r="E88" s="11"/>
      <c r="F88" s="11"/>
      <c r="G88" s="12"/>
      <c r="H88" s="1"/>
      <c r="I88" s="1"/>
    </row>
    <row r="89" spans="2:9" x14ac:dyDescent="0.25">
      <c r="B89" s="10"/>
      <c r="E89" s="11"/>
      <c r="F89" s="11"/>
      <c r="G89" s="12"/>
      <c r="H89" s="1"/>
      <c r="I89" s="1"/>
    </row>
    <row r="90" spans="2:9" x14ac:dyDescent="0.25">
      <c r="B90" s="10"/>
      <c r="E90" s="11"/>
      <c r="F90" s="11"/>
      <c r="G90" s="12"/>
      <c r="H90" s="1"/>
      <c r="I90" s="1"/>
    </row>
    <row r="91" spans="2:9" x14ac:dyDescent="0.25">
      <c r="B91" s="10"/>
      <c r="E91" s="11"/>
      <c r="F91" s="11"/>
      <c r="G91" s="12"/>
      <c r="H91" s="1"/>
      <c r="I91" s="1"/>
    </row>
    <row r="92" spans="2:9" x14ac:dyDescent="0.25">
      <c r="B92" s="10"/>
      <c r="E92" s="11"/>
      <c r="F92" s="11"/>
      <c r="G92" s="12"/>
      <c r="H92" s="1"/>
      <c r="I92" s="1"/>
    </row>
    <row r="93" spans="2:9" x14ac:dyDescent="0.25">
      <c r="B93" s="10"/>
      <c r="E93" s="11"/>
      <c r="F93" s="11"/>
      <c r="G93" s="12"/>
      <c r="H93" s="1"/>
      <c r="I93" s="1"/>
    </row>
    <row r="94" spans="2:9" x14ac:dyDescent="0.25">
      <c r="B94" s="10"/>
      <c r="E94" s="11"/>
      <c r="F94" s="11"/>
      <c r="G94" s="12"/>
      <c r="H94" s="1"/>
      <c r="I94" s="1"/>
    </row>
    <row r="95" spans="2:9" x14ac:dyDescent="0.25">
      <c r="B95" s="10"/>
      <c r="E95" s="11"/>
      <c r="F95" s="11"/>
      <c r="G95" s="12"/>
      <c r="H95" s="1"/>
      <c r="I95" s="1"/>
    </row>
    <row r="96" spans="2:9" x14ac:dyDescent="0.25">
      <c r="B96" s="10"/>
      <c r="E96" s="11"/>
      <c r="F96" s="11"/>
      <c r="G96" s="12"/>
      <c r="H96" s="1"/>
      <c r="I96" s="1"/>
    </row>
    <row r="97" spans="2:9" x14ac:dyDescent="0.25">
      <c r="B97" s="10"/>
      <c r="E97" s="11"/>
      <c r="F97" s="11"/>
      <c r="G97" s="12"/>
      <c r="H97" s="1"/>
      <c r="I97" s="1"/>
    </row>
    <row r="98" spans="2:9" x14ac:dyDescent="0.25">
      <c r="B98" s="10"/>
      <c r="E98" s="11"/>
      <c r="F98" s="11"/>
      <c r="G98" s="12"/>
      <c r="H98" s="1"/>
      <c r="I98" s="1"/>
    </row>
    <row r="99" spans="2:9" x14ac:dyDescent="0.25">
      <c r="B99" s="10"/>
      <c r="E99" s="11"/>
      <c r="F99" s="11"/>
      <c r="G99" s="12"/>
      <c r="H99" s="1"/>
      <c r="I99" s="1"/>
    </row>
    <row r="100" spans="2:9" x14ac:dyDescent="0.25">
      <c r="B100" s="10"/>
      <c r="E100" s="11"/>
      <c r="F100" s="11"/>
      <c r="G100" s="12"/>
      <c r="H100" s="1"/>
      <c r="I100" s="1"/>
    </row>
    <row r="101" spans="2:9" x14ac:dyDescent="0.25">
      <c r="B101" s="10"/>
      <c r="E101" s="11"/>
      <c r="F101" s="11"/>
      <c r="G101" s="12"/>
      <c r="H101" s="1"/>
      <c r="I101" s="1"/>
    </row>
    <row r="102" spans="2:9" x14ac:dyDescent="0.25">
      <c r="B102" s="10"/>
      <c r="E102" s="11"/>
      <c r="F102" s="11"/>
      <c r="G102" s="12"/>
      <c r="H102" s="1"/>
      <c r="I102" s="1"/>
    </row>
    <row r="103" spans="2:9" x14ac:dyDescent="0.25">
      <c r="B103" s="10"/>
      <c r="E103" s="11"/>
      <c r="F103" s="11"/>
      <c r="G103" s="12"/>
      <c r="H103" s="1"/>
      <c r="I103" s="1"/>
    </row>
    <row r="104" spans="2:9" x14ac:dyDescent="0.25">
      <c r="B104" s="10"/>
      <c r="E104" s="11"/>
      <c r="F104" s="11"/>
      <c r="G104" s="12"/>
      <c r="H104" s="1"/>
      <c r="I104" s="1"/>
    </row>
    <row r="105" spans="2:9" x14ac:dyDescent="0.25">
      <c r="B105" s="10"/>
      <c r="E105" s="11"/>
      <c r="F105" s="11"/>
      <c r="G105" s="12"/>
      <c r="H105" s="1"/>
      <c r="I105" s="1"/>
    </row>
    <row r="106" spans="2:9" x14ac:dyDescent="0.25">
      <c r="B106" s="10"/>
      <c r="E106" s="11"/>
      <c r="F106" s="11"/>
      <c r="G106" s="12"/>
      <c r="H106" s="1"/>
      <c r="I106" s="1"/>
    </row>
    <row r="107" spans="2:9" x14ac:dyDescent="0.25">
      <c r="B107" s="10"/>
      <c r="E107" s="11"/>
      <c r="F107" s="11"/>
      <c r="G107" s="12"/>
      <c r="H107" s="1"/>
      <c r="I107" s="1"/>
    </row>
    <row r="108" spans="2:9" x14ac:dyDescent="0.25">
      <c r="B108" s="10"/>
      <c r="E108" s="11"/>
      <c r="F108" s="11"/>
      <c r="G108" s="12"/>
      <c r="H108" s="1"/>
      <c r="I108" s="1"/>
    </row>
    <row r="109" spans="2:9" x14ac:dyDescent="0.25">
      <c r="B109" s="10"/>
      <c r="E109" s="11"/>
      <c r="F109" s="11"/>
      <c r="G109" s="12"/>
      <c r="H109" s="1"/>
      <c r="I109" s="1"/>
    </row>
    <row r="110" spans="2:9" x14ac:dyDescent="0.25">
      <c r="B110" s="10"/>
      <c r="E110" s="11"/>
      <c r="F110" s="11"/>
      <c r="G110" s="12"/>
      <c r="H110" s="1"/>
      <c r="I110" s="1"/>
    </row>
    <row r="111" spans="2:9" x14ac:dyDescent="0.25">
      <c r="B111" s="10"/>
      <c r="E111" s="11"/>
      <c r="F111" s="11"/>
      <c r="G111" s="12"/>
      <c r="H111" s="1"/>
      <c r="I111" s="1"/>
    </row>
    <row r="112" spans="2:9" x14ac:dyDescent="0.25">
      <c r="B112" s="10"/>
      <c r="E112" s="11"/>
      <c r="F112" s="11"/>
      <c r="G112" s="12"/>
      <c r="H112" s="1"/>
      <c r="I112" s="1"/>
    </row>
    <row r="113" spans="2:9" x14ac:dyDescent="0.25">
      <c r="B113" s="10"/>
      <c r="E113" s="11"/>
      <c r="F113" s="11"/>
      <c r="G113" s="12"/>
      <c r="H113" s="1"/>
      <c r="I113" s="1"/>
    </row>
    <row r="114" spans="2:9" x14ac:dyDescent="0.25">
      <c r="B114" s="10"/>
      <c r="E114" s="11"/>
      <c r="F114" s="11"/>
      <c r="G114" s="12"/>
      <c r="H114" s="1"/>
      <c r="I114" s="1"/>
    </row>
    <row r="115" spans="2:9" x14ac:dyDescent="0.25">
      <c r="B115" s="10"/>
      <c r="E115" s="11"/>
      <c r="F115" s="11"/>
      <c r="G115" s="12"/>
      <c r="H115" s="1"/>
      <c r="I115" s="1"/>
    </row>
    <row r="116" spans="2:9" x14ac:dyDescent="0.25">
      <c r="B116" s="10"/>
      <c r="E116" s="11"/>
      <c r="F116" s="11"/>
      <c r="G116" s="12"/>
      <c r="H116" s="1"/>
      <c r="I116" s="1"/>
    </row>
    <row r="117" spans="2:9" x14ac:dyDescent="0.25">
      <c r="B117" s="10"/>
      <c r="E117" s="11"/>
      <c r="F117" s="11"/>
      <c r="G117" s="12"/>
      <c r="H117" s="1"/>
      <c r="I117" s="1"/>
    </row>
    <row r="118" spans="2:9" x14ac:dyDescent="0.25">
      <c r="B118" s="10"/>
      <c r="E118" s="11"/>
      <c r="F118" s="11"/>
      <c r="G118" s="12"/>
      <c r="H118" s="1"/>
      <c r="I118" s="1"/>
    </row>
    <row r="119" spans="2:9" x14ac:dyDescent="0.25">
      <c r="B119" s="10"/>
      <c r="E119" s="11"/>
      <c r="F119" s="11"/>
      <c r="G119" s="12"/>
      <c r="H119" s="1"/>
      <c r="I119" s="1"/>
    </row>
    <row r="120" spans="2:9" x14ac:dyDescent="0.25">
      <c r="B120" s="10"/>
      <c r="E120" s="11"/>
      <c r="F120" s="11"/>
      <c r="G120" s="12"/>
      <c r="H120" s="1"/>
      <c r="I120" s="1"/>
    </row>
    <row r="121" spans="2:9" x14ac:dyDescent="0.25">
      <c r="B121" s="10"/>
      <c r="E121" s="11"/>
      <c r="F121" s="11"/>
      <c r="G121" s="12"/>
      <c r="H121" s="1"/>
      <c r="I121" s="1"/>
    </row>
    <row r="122" spans="2:9" x14ac:dyDescent="0.25">
      <c r="B122" s="10"/>
      <c r="E122" s="11"/>
      <c r="F122" s="11"/>
      <c r="G122" s="12"/>
      <c r="H122" s="1"/>
      <c r="I122" s="1"/>
    </row>
    <row r="123" spans="2:9" x14ac:dyDescent="0.25">
      <c r="B123" s="10"/>
      <c r="E123" s="11"/>
      <c r="F123" s="11"/>
      <c r="G123" s="12"/>
      <c r="H123" s="1"/>
      <c r="I123" s="1"/>
    </row>
    <row r="124" spans="2:9" x14ac:dyDescent="0.25">
      <c r="B124" s="10"/>
      <c r="E124" s="11"/>
      <c r="F124" s="11"/>
      <c r="G124" s="12"/>
      <c r="H124" s="1"/>
      <c r="I124" s="1"/>
    </row>
    <row r="125" spans="2:9" x14ac:dyDescent="0.25">
      <c r="B125" s="10"/>
      <c r="E125" s="11"/>
      <c r="F125" s="11"/>
      <c r="G125" s="12"/>
      <c r="H125" s="1"/>
      <c r="I125" s="1"/>
    </row>
    <row r="126" spans="2:9" x14ac:dyDescent="0.25">
      <c r="B126" s="10"/>
      <c r="E126" s="11"/>
      <c r="F126" s="11"/>
      <c r="G126" s="12"/>
      <c r="H126" s="1"/>
      <c r="I126" s="1"/>
    </row>
    <row r="127" spans="2:9" x14ac:dyDescent="0.25">
      <c r="B127" s="10"/>
      <c r="E127" s="11"/>
      <c r="F127" s="11"/>
      <c r="G127" s="12"/>
      <c r="H127" s="1"/>
      <c r="I127" s="1"/>
    </row>
    <row r="128" spans="2:9" x14ac:dyDescent="0.25">
      <c r="B128" s="10"/>
      <c r="E128" s="11"/>
      <c r="F128" s="11"/>
      <c r="G128" s="12"/>
      <c r="H128" s="1"/>
      <c r="I128" s="1"/>
    </row>
    <row r="129" spans="2:9" x14ac:dyDescent="0.25">
      <c r="B129" s="10"/>
      <c r="E129" s="11"/>
      <c r="F129" s="11"/>
      <c r="G129" s="12"/>
      <c r="H129" s="1"/>
      <c r="I129" s="1"/>
    </row>
    <row r="130" spans="2:9" x14ac:dyDescent="0.25">
      <c r="B130" s="10"/>
      <c r="E130" s="11"/>
      <c r="F130" s="11"/>
      <c r="G130" s="12"/>
      <c r="H130" s="1"/>
      <c r="I130" s="1"/>
    </row>
    <row r="131" spans="2:9" x14ac:dyDescent="0.25">
      <c r="B131" s="10"/>
      <c r="E131" s="11"/>
      <c r="F131" s="11"/>
      <c r="G131" s="12"/>
      <c r="H131" s="1"/>
      <c r="I131" s="1"/>
    </row>
    <row r="132" spans="2:9" x14ac:dyDescent="0.25">
      <c r="B132" s="10"/>
      <c r="E132" s="11"/>
      <c r="F132" s="11"/>
      <c r="G132" s="12"/>
      <c r="H132" s="1"/>
      <c r="I132" s="1"/>
    </row>
    <row r="133" spans="2:9" x14ac:dyDescent="0.25">
      <c r="B133" s="10"/>
      <c r="E133" s="11"/>
      <c r="F133" s="11"/>
      <c r="G133" s="12"/>
      <c r="H133" s="1"/>
      <c r="I133" s="1"/>
    </row>
    <row r="134" spans="2:9" x14ac:dyDescent="0.25">
      <c r="B134" s="10"/>
      <c r="E134" s="11"/>
      <c r="F134" s="11"/>
      <c r="G134" s="12"/>
      <c r="H134" s="1"/>
      <c r="I134" s="1"/>
    </row>
    <row r="135" spans="2:9" x14ac:dyDescent="0.25">
      <c r="B135" s="10"/>
      <c r="E135" s="11"/>
      <c r="F135" s="11"/>
      <c r="G135" s="12"/>
      <c r="H135" s="1"/>
      <c r="I135" s="1"/>
    </row>
    <row r="136" spans="2:9" x14ac:dyDescent="0.25">
      <c r="B136" s="10"/>
      <c r="E136" s="11"/>
      <c r="F136" s="11"/>
      <c r="G136" s="12"/>
      <c r="H136" s="1"/>
      <c r="I136" s="1"/>
    </row>
    <row r="137" spans="2:9" x14ac:dyDescent="0.25">
      <c r="B137" s="10"/>
      <c r="E137" s="11"/>
      <c r="F137" s="11"/>
      <c r="G137" s="12"/>
      <c r="H137" s="1"/>
      <c r="I137" s="1"/>
    </row>
    <row r="138" spans="2:9" x14ac:dyDescent="0.25">
      <c r="B138" s="10"/>
      <c r="E138" s="11"/>
      <c r="F138" s="11"/>
      <c r="G138" s="12"/>
      <c r="H138" s="1"/>
      <c r="I138" s="1"/>
    </row>
    <row r="139" spans="2:9" x14ac:dyDescent="0.25">
      <c r="B139" s="10"/>
      <c r="E139" s="11"/>
      <c r="F139" s="11"/>
      <c r="G139" s="12"/>
      <c r="H139" s="1"/>
      <c r="I139" s="1"/>
    </row>
    <row r="140" spans="2:9" x14ac:dyDescent="0.25">
      <c r="B140" s="10"/>
      <c r="E140" s="11"/>
      <c r="F140" s="11"/>
      <c r="G140" s="12"/>
      <c r="H140" s="1"/>
      <c r="I140" s="1"/>
    </row>
    <row r="141" spans="2:9" x14ac:dyDescent="0.25">
      <c r="B141" s="10"/>
      <c r="E141" s="11"/>
      <c r="F141" s="11"/>
      <c r="G141" s="12"/>
      <c r="H141" s="1"/>
      <c r="I141" s="1"/>
    </row>
    <row r="142" spans="2:9" x14ac:dyDescent="0.25">
      <c r="B142" s="10"/>
      <c r="E142" s="11"/>
      <c r="F142" s="11"/>
      <c r="G142" s="12"/>
      <c r="H142" s="1"/>
      <c r="I142" s="1"/>
    </row>
    <row r="143" spans="2:9" x14ac:dyDescent="0.25">
      <c r="B143" s="10"/>
      <c r="E143" s="11"/>
      <c r="F143" s="11"/>
      <c r="G143" s="12"/>
      <c r="H143" s="1"/>
      <c r="I143" s="1"/>
    </row>
    <row r="144" spans="2:9" x14ac:dyDescent="0.25">
      <c r="B144" s="10"/>
      <c r="E144" s="11"/>
      <c r="F144" s="11"/>
      <c r="G144" s="12"/>
      <c r="H144" s="1"/>
      <c r="I144" s="1"/>
    </row>
    <row r="145" spans="2:9" x14ac:dyDescent="0.25">
      <c r="B145" s="10"/>
      <c r="E145" s="11"/>
      <c r="F145" s="11"/>
      <c r="G145" s="12"/>
      <c r="H145" s="1"/>
      <c r="I145" s="1"/>
    </row>
    <row r="146" spans="2:9" x14ac:dyDescent="0.25">
      <c r="B146" s="10"/>
      <c r="E146" s="11"/>
      <c r="F146" s="11"/>
      <c r="G146" s="12"/>
      <c r="H146" s="1"/>
      <c r="I146" s="1"/>
    </row>
    <row r="147" spans="2:9" x14ac:dyDescent="0.25">
      <c r="B147" s="10"/>
      <c r="E147" s="11"/>
      <c r="F147" s="11"/>
      <c r="G147" s="12"/>
      <c r="H147" s="1"/>
      <c r="I147" s="1"/>
    </row>
    <row r="148" spans="2:9" x14ac:dyDescent="0.25">
      <c r="B148" s="10"/>
      <c r="E148" s="11"/>
      <c r="F148" s="11"/>
      <c r="G148" s="12"/>
      <c r="H148" s="1"/>
      <c r="I148" s="1"/>
    </row>
    <row r="149" spans="2:9" x14ac:dyDescent="0.25">
      <c r="B149" s="10"/>
      <c r="E149" s="11"/>
      <c r="F149" s="11"/>
      <c r="G149" s="12"/>
      <c r="H149" s="1"/>
      <c r="I149" s="1"/>
    </row>
    <row r="150" spans="2:9" x14ac:dyDescent="0.25">
      <c r="B150" s="10"/>
      <c r="E150" s="11"/>
      <c r="F150" s="11"/>
      <c r="G150" s="12"/>
      <c r="H150" s="1"/>
      <c r="I150" s="1"/>
    </row>
    <row r="151" spans="2:9" x14ac:dyDescent="0.25">
      <c r="B151" s="10"/>
      <c r="E151" s="11"/>
      <c r="F151" s="11"/>
      <c r="G151" s="12"/>
      <c r="H151" s="1"/>
      <c r="I151" s="1"/>
    </row>
    <row r="152" spans="2:9" x14ac:dyDescent="0.25">
      <c r="B152" s="10"/>
      <c r="E152" s="11"/>
      <c r="F152" s="11"/>
      <c r="G152" s="12"/>
      <c r="H152" s="1"/>
      <c r="I152" s="1"/>
    </row>
    <row r="153" spans="2:9" x14ac:dyDescent="0.25">
      <c r="B153" s="10"/>
      <c r="E153" s="11"/>
      <c r="F153" s="11"/>
      <c r="G153" s="12"/>
      <c r="H153" s="1"/>
      <c r="I153" s="1"/>
    </row>
    <row r="154" spans="2:9" x14ac:dyDescent="0.25">
      <c r="B154" s="10"/>
      <c r="E154" s="11"/>
      <c r="F154" s="11"/>
      <c r="G154" s="12"/>
      <c r="H154" s="1"/>
      <c r="I154" s="1"/>
    </row>
    <row r="155" spans="2:9" x14ac:dyDescent="0.25">
      <c r="B155" s="10"/>
      <c r="E155" s="11"/>
      <c r="F155" s="11"/>
      <c r="G155" s="12"/>
      <c r="H155" s="1"/>
      <c r="I155" s="1"/>
    </row>
    <row r="156" spans="2:9" x14ac:dyDescent="0.25">
      <c r="B156" s="10"/>
      <c r="E156" s="11"/>
      <c r="F156" s="11"/>
      <c r="G156" s="12"/>
      <c r="H156" s="1"/>
      <c r="I156" s="1"/>
    </row>
    <row r="157" spans="2:9" x14ac:dyDescent="0.25">
      <c r="B157" s="10"/>
      <c r="E157" s="11"/>
      <c r="F157" s="11"/>
      <c r="G157" s="12"/>
      <c r="H157" s="1"/>
      <c r="I157" s="1"/>
    </row>
    <row r="158" spans="2:9" x14ac:dyDescent="0.25">
      <c r="B158" s="10"/>
      <c r="E158" s="11"/>
      <c r="F158" s="11"/>
      <c r="G158" s="12"/>
      <c r="H158" s="1"/>
      <c r="I158" s="1"/>
    </row>
    <row r="159" spans="2:9" x14ac:dyDescent="0.25">
      <c r="B159" s="10"/>
      <c r="E159" s="11"/>
      <c r="F159" s="11"/>
      <c r="G159" s="12"/>
      <c r="H159" s="1"/>
      <c r="I159" s="1"/>
    </row>
    <row r="160" spans="2:9" x14ac:dyDescent="0.25">
      <c r="B160" s="10"/>
      <c r="E160" s="11"/>
      <c r="F160" s="11"/>
      <c r="G160" s="12"/>
      <c r="H160" s="1"/>
      <c r="I160" s="1"/>
    </row>
    <row r="161" spans="2:9" x14ac:dyDescent="0.25">
      <c r="B161" s="10"/>
      <c r="E161" s="11"/>
      <c r="F161" s="11"/>
      <c r="G161" s="12"/>
      <c r="H161" s="1"/>
      <c r="I161" s="1"/>
    </row>
    <row r="162" spans="2:9" x14ac:dyDescent="0.25">
      <c r="B162" s="10"/>
      <c r="E162" s="11"/>
      <c r="F162" s="11"/>
      <c r="G162" s="12"/>
      <c r="H162" s="1"/>
      <c r="I162" s="1"/>
    </row>
    <row r="163" spans="2:9" x14ac:dyDescent="0.25">
      <c r="B163" s="10"/>
      <c r="E163" s="11"/>
      <c r="F163" s="11"/>
      <c r="G163" s="12"/>
      <c r="H163" s="1"/>
      <c r="I163" s="1"/>
    </row>
    <row r="164" spans="2:9" x14ac:dyDescent="0.25">
      <c r="B164" s="10"/>
      <c r="E164" s="11"/>
      <c r="F164" s="11"/>
      <c r="G164" s="12"/>
      <c r="H164" s="1"/>
      <c r="I164" s="1"/>
    </row>
    <row r="165" spans="2:9" x14ac:dyDescent="0.25">
      <c r="B165" s="10"/>
      <c r="E165" s="11"/>
      <c r="F165" s="11"/>
      <c r="G165" s="12"/>
      <c r="H165" s="1"/>
      <c r="I165" s="1"/>
    </row>
    <row r="166" spans="2:9" x14ac:dyDescent="0.25">
      <c r="B166" s="10"/>
      <c r="E166" s="11"/>
      <c r="F166" s="11"/>
      <c r="G166" s="12"/>
      <c r="H166" s="1"/>
      <c r="I166" s="1"/>
    </row>
    <row r="167" spans="2:9" x14ac:dyDescent="0.25">
      <c r="B167" s="10"/>
      <c r="E167" s="11"/>
      <c r="F167" s="11"/>
      <c r="G167" s="12"/>
      <c r="H167" s="1"/>
      <c r="I167" s="1"/>
    </row>
    <row r="168" spans="2:9" x14ac:dyDescent="0.25">
      <c r="B168" s="10"/>
      <c r="E168" s="11"/>
      <c r="F168" s="11"/>
      <c r="G168" s="12"/>
      <c r="H168" s="1"/>
      <c r="I168" s="1"/>
    </row>
    <row r="169" spans="2:9" x14ac:dyDescent="0.25">
      <c r="B169" s="10"/>
      <c r="E169" s="11"/>
      <c r="F169" s="11"/>
      <c r="G169" s="12"/>
      <c r="H169" s="1"/>
      <c r="I169" s="1"/>
    </row>
    <row r="170" spans="2:9" x14ac:dyDescent="0.25">
      <c r="B170" s="10"/>
      <c r="E170" s="11"/>
      <c r="F170" s="11"/>
      <c r="G170" s="12"/>
      <c r="H170" s="1"/>
      <c r="I170" s="1"/>
    </row>
    <row r="171" spans="2:9" x14ac:dyDescent="0.25">
      <c r="B171" s="10"/>
      <c r="E171" s="11"/>
      <c r="F171" s="11"/>
      <c r="G171" s="12"/>
      <c r="H171" s="1"/>
      <c r="I171" s="1"/>
    </row>
    <row r="172" spans="2:9" x14ac:dyDescent="0.25">
      <c r="B172" s="10"/>
      <c r="E172" s="11"/>
      <c r="F172" s="11"/>
      <c r="G172" s="12"/>
      <c r="H172" s="1"/>
      <c r="I172" s="1"/>
    </row>
    <row r="173" spans="2:9" x14ac:dyDescent="0.25">
      <c r="B173" s="10"/>
      <c r="E173" s="11"/>
      <c r="F173" s="11"/>
      <c r="G173" s="12"/>
      <c r="H173" s="1"/>
      <c r="I173" s="1"/>
    </row>
    <row r="174" spans="2:9" x14ac:dyDescent="0.25">
      <c r="B174" s="10"/>
      <c r="E174" s="11"/>
      <c r="F174" s="11"/>
      <c r="G174" s="12"/>
      <c r="H174" s="1"/>
      <c r="I174" s="1"/>
    </row>
    <row r="175" spans="2:9" x14ac:dyDescent="0.25">
      <c r="B175" s="10"/>
      <c r="E175" s="11"/>
      <c r="F175" s="11"/>
      <c r="G175" s="12"/>
      <c r="H175" s="1"/>
      <c r="I175" s="1"/>
    </row>
    <row r="176" spans="2:9" x14ac:dyDescent="0.25">
      <c r="B176" s="10"/>
      <c r="E176" s="11"/>
      <c r="F176" s="11"/>
      <c r="G176" s="12"/>
      <c r="H176" s="1"/>
      <c r="I176" s="1"/>
    </row>
    <row r="177" spans="2:9" x14ac:dyDescent="0.25">
      <c r="B177" s="10"/>
      <c r="E177" s="11"/>
      <c r="F177" s="11"/>
      <c r="G177" s="12"/>
      <c r="H177" s="1"/>
      <c r="I177" s="1"/>
    </row>
    <row r="178" spans="2:9" x14ac:dyDescent="0.25">
      <c r="B178" s="10"/>
      <c r="E178" s="11"/>
      <c r="F178" s="11"/>
      <c r="G178" s="12"/>
      <c r="H178" s="1"/>
      <c r="I178" s="1"/>
    </row>
    <row r="179" spans="2:9" x14ac:dyDescent="0.25">
      <c r="B179" s="10"/>
      <c r="E179" s="11"/>
      <c r="F179" s="11"/>
      <c r="G179" s="12"/>
      <c r="H179" s="1"/>
      <c r="I179" s="1"/>
    </row>
    <row r="180" spans="2:9" x14ac:dyDescent="0.25">
      <c r="B180" s="10"/>
      <c r="E180" s="11"/>
      <c r="F180" s="11"/>
      <c r="G180" s="12"/>
      <c r="H180" s="1"/>
      <c r="I180" s="1"/>
    </row>
    <row r="181" spans="2:9" x14ac:dyDescent="0.25">
      <c r="B181" s="10"/>
      <c r="E181" s="11"/>
      <c r="F181" s="11"/>
      <c r="G181" s="12"/>
      <c r="H181" s="1"/>
      <c r="I181" s="1"/>
    </row>
    <row r="182" spans="2:9" x14ac:dyDescent="0.25">
      <c r="B182" s="10"/>
      <c r="E182" s="11"/>
      <c r="F182" s="11"/>
      <c r="G182" s="12"/>
      <c r="H182" s="1"/>
      <c r="I182" s="1"/>
    </row>
    <row r="183" spans="2:9" x14ac:dyDescent="0.25">
      <c r="B183" s="10"/>
      <c r="E183" s="11"/>
      <c r="F183" s="11"/>
      <c r="G183" s="12"/>
      <c r="H183" s="1"/>
      <c r="I183" s="1"/>
    </row>
    <row r="184" spans="2:9" x14ac:dyDescent="0.25">
      <c r="B184" s="10"/>
      <c r="E184" s="11"/>
      <c r="F184" s="11"/>
      <c r="G184" s="12"/>
      <c r="H184" s="1"/>
      <c r="I184" s="1"/>
    </row>
    <row r="185" spans="2:9" x14ac:dyDescent="0.25">
      <c r="B185" s="10"/>
      <c r="E185" s="11"/>
      <c r="F185" s="11"/>
      <c r="G185" s="12"/>
      <c r="H185" s="1"/>
      <c r="I185" s="1"/>
    </row>
    <row r="186" spans="2:9" x14ac:dyDescent="0.25">
      <c r="B186" s="10"/>
      <c r="E186" s="11"/>
      <c r="F186" s="11"/>
      <c r="G186" s="12"/>
      <c r="H186" s="1"/>
      <c r="I186" s="1"/>
    </row>
    <row r="187" spans="2:9" x14ac:dyDescent="0.25">
      <c r="B187" s="10"/>
      <c r="E187" s="11"/>
      <c r="F187" s="11"/>
      <c r="G187" s="12"/>
      <c r="H187" s="1"/>
      <c r="I187" s="1"/>
    </row>
    <row r="188" spans="2:9" x14ac:dyDescent="0.25">
      <c r="B188" s="10"/>
      <c r="E188" s="11"/>
      <c r="F188" s="11"/>
      <c r="G188" s="12"/>
      <c r="H188" s="1"/>
      <c r="I188" s="1"/>
    </row>
    <row r="189" spans="2:9" x14ac:dyDescent="0.25">
      <c r="B189" s="10"/>
      <c r="E189" s="11"/>
      <c r="F189" s="11"/>
      <c r="G189" s="12"/>
      <c r="H189" s="1"/>
      <c r="I189" s="1"/>
    </row>
    <row r="190" spans="2:9" x14ac:dyDescent="0.25">
      <c r="B190" s="10"/>
      <c r="E190" s="11"/>
      <c r="F190" s="11"/>
      <c r="G190" s="12"/>
      <c r="H190" s="1"/>
      <c r="I190" s="1"/>
    </row>
    <row r="191" spans="2:9" x14ac:dyDescent="0.25">
      <c r="B191" s="10"/>
      <c r="E191" s="11"/>
      <c r="F191" s="11"/>
      <c r="G191" s="12"/>
      <c r="H191" s="1"/>
      <c r="I191" s="1"/>
    </row>
    <row r="192" spans="2:9" x14ac:dyDescent="0.25">
      <c r="B192" s="10"/>
      <c r="E192" s="11"/>
      <c r="F192" s="11"/>
      <c r="G192" s="12"/>
      <c r="H192" s="1"/>
      <c r="I192" s="1"/>
    </row>
    <row r="193" spans="2:9" x14ac:dyDescent="0.25">
      <c r="B193" s="10"/>
      <c r="E193" s="11"/>
      <c r="F193" s="11"/>
      <c r="G193" s="12"/>
      <c r="H193" s="1"/>
      <c r="I193" s="1"/>
    </row>
    <row r="194" spans="2:9" x14ac:dyDescent="0.25">
      <c r="B194" s="10"/>
      <c r="E194" s="11"/>
      <c r="F194" s="11"/>
      <c r="G194" s="12"/>
      <c r="H194" s="1"/>
      <c r="I194" s="1"/>
    </row>
    <row r="195" spans="2:9" x14ac:dyDescent="0.25">
      <c r="B195" s="10"/>
      <c r="E195" s="11"/>
      <c r="F195" s="11"/>
      <c r="G195" s="12"/>
      <c r="H195" s="1"/>
      <c r="I195" s="1"/>
    </row>
    <row r="196" spans="2:9" x14ac:dyDescent="0.25">
      <c r="B196" s="10"/>
      <c r="E196" s="11"/>
      <c r="F196" s="11"/>
      <c r="G196" s="12"/>
      <c r="H196" s="1"/>
      <c r="I196" s="1"/>
    </row>
    <row r="197" spans="2:9" x14ac:dyDescent="0.25">
      <c r="B197" s="10"/>
      <c r="E197" s="11"/>
      <c r="F197" s="11"/>
      <c r="G197" s="12"/>
      <c r="H197" s="1"/>
      <c r="I197" s="1"/>
    </row>
    <row r="198" spans="2:9" x14ac:dyDescent="0.25">
      <c r="B198" s="10"/>
      <c r="E198" s="11"/>
      <c r="F198" s="11"/>
      <c r="G198" s="12"/>
      <c r="H198" s="1"/>
      <c r="I198" s="1"/>
    </row>
    <row r="199" spans="2:9" x14ac:dyDescent="0.25">
      <c r="B199" s="10"/>
      <c r="E199" s="11"/>
      <c r="F199" s="11"/>
      <c r="G199" s="12"/>
      <c r="H199" s="1"/>
      <c r="I199" s="1"/>
    </row>
    <row r="200" spans="2:9" x14ac:dyDescent="0.25">
      <c r="B200" s="10"/>
      <c r="E200" s="11"/>
      <c r="F200" s="11"/>
      <c r="G200" s="12"/>
      <c r="H200" s="1"/>
      <c r="I200" s="1"/>
    </row>
    <row r="201" spans="2:9" x14ac:dyDescent="0.25">
      <c r="B201" s="10"/>
      <c r="E201" s="11"/>
      <c r="F201" s="11"/>
      <c r="G201" s="12"/>
      <c r="H201" s="1"/>
      <c r="I201" s="1"/>
    </row>
    <row r="202" spans="2:9" x14ac:dyDescent="0.25">
      <c r="B202" s="10"/>
      <c r="E202" s="11"/>
      <c r="F202" s="11"/>
      <c r="G202" s="12"/>
      <c r="H202" s="1"/>
      <c r="I202" s="1"/>
    </row>
    <row r="203" spans="2:9" x14ac:dyDescent="0.25">
      <c r="B203" s="10"/>
      <c r="E203" s="11"/>
      <c r="F203" s="11"/>
      <c r="G203" s="12"/>
      <c r="H203" s="1"/>
      <c r="I203" s="1"/>
    </row>
    <row r="204" spans="2:9" x14ac:dyDescent="0.25">
      <c r="B204" s="10"/>
      <c r="E204" s="11"/>
      <c r="F204" s="11"/>
      <c r="G204" s="12"/>
      <c r="H204" s="1"/>
      <c r="I204" s="1"/>
    </row>
    <row r="205" spans="2:9" x14ac:dyDescent="0.25">
      <c r="B205" s="10"/>
      <c r="E205" s="11"/>
      <c r="F205" s="11"/>
      <c r="G205" s="12"/>
      <c r="H205" s="1"/>
      <c r="I205" s="1"/>
    </row>
    <row r="206" spans="2:9" x14ac:dyDescent="0.25">
      <c r="B206" s="10"/>
      <c r="E206" s="11"/>
      <c r="F206" s="11"/>
      <c r="G206" s="12"/>
      <c r="H206" s="1"/>
      <c r="I206" s="1"/>
    </row>
    <row r="207" spans="2:9" x14ac:dyDescent="0.25">
      <c r="B207" s="10"/>
      <c r="E207" s="11"/>
      <c r="F207" s="11"/>
      <c r="G207" s="12"/>
      <c r="H207" s="1"/>
      <c r="I207" s="1"/>
    </row>
    <row r="208" spans="2:9" x14ac:dyDescent="0.25">
      <c r="B208" s="10"/>
      <c r="E208" s="11"/>
      <c r="F208" s="11"/>
      <c r="G208" s="12"/>
      <c r="H208" s="1"/>
      <c r="I208" s="1"/>
    </row>
    <row r="209" spans="2:9" x14ac:dyDescent="0.25">
      <c r="B209" s="10"/>
      <c r="E209" s="11"/>
      <c r="F209" s="11"/>
      <c r="G209" s="12"/>
      <c r="H209" s="1"/>
      <c r="I209" s="1"/>
    </row>
    <row r="210" spans="2:9" x14ac:dyDescent="0.25">
      <c r="B210" s="10"/>
      <c r="E210" s="11"/>
      <c r="F210" s="11"/>
      <c r="G210" s="12"/>
      <c r="H210" s="1"/>
      <c r="I210" s="1"/>
    </row>
    <row r="211" spans="2:9" x14ac:dyDescent="0.25">
      <c r="B211" s="10"/>
      <c r="E211" s="11"/>
      <c r="F211" s="11"/>
      <c r="G211" s="12"/>
      <c r="H211" s="1"/>
      <c r="I211" s="1"/>
    </row>
    <row r="212" spans="2:9" x14ac:dyDescent="0.25">
      <c r="B212" s="10"/>
      <c r="E212" s="11"/>
      <c r="F212" s="11"/>
      <c r="G212" s="12"/>
      <c r="H212" s="1"/>
      <c r="I212" s="1"/>
    </row>
    <row r="213" spans="2:9" x14ac:dyDescent="0.25">
      <c r="B213" s="10"/>
      <c r="E213" s="11"/>
      <c r="F213" s="11"/>
      <c r="G213" s="12"/>
      <c r="H213" s="1"/>
      <c r="I213" s="1"/>
    </row>
    <row r="214" spans="2:9" x14ac:dyDescent="0.25">
      <c r="B214" s="10"/>
      <c r="E214" s="11"/>
      <c r="F214" s="11"/>
      <c r="G214" s="12"/>
      <c r="H214" s="1"/>
      <c r="I214" s="1"/>
    </row>
    <row r="215" spans="2:9" x14ac:dyDescent="0.25">
      <c r="B215" s="10"/>
      <c r="E215" s="11"/>
      <c r="F215" s="11"/>
      <c r="G215" s="12"/>
      <c r="H215" s="1"/>
      <c r="I215" s="1"/>
    </row>
    <row r="216" spans="2:9" x14ac:dyDescent="0.25">
      <c r="B216" s="10"/>
      <c r="E216" s="11"/>
      <c r="F216" s="11"/>
      <c r="G216" s="12"/>
      <c r="H216" s="1"/>
      <c r="I216" s="1"/>
    </row>
    <row r="217" spans="2:9" x14ac:dyDescent="0.25">
      <c r="B217" s="10"/>
      <c r="E217" s="11"/>
      <c r="F217" s="11"/>
      <c r="G217" s="12"/>
      <c r="H217" s="1"/>
      <c r="I217" s="1"/>
    </row>
    <row r="218" spans="2:9" x14ac:dyDescent="0.25">
      <c r="B218" s="10"/>
      <c r="E218" s="11"/>
      <c r="F218" s="11"/>
      <c r="G218" s="12"/>
      <c r="H218" s="1"/>
      <c r="I218" s="1"/>
    </row>
    <row r="219" spans="2:9" x14ac:dyDescent="0.25">
      <c r="B219" s="10"/>
      <c r="E219" s="11"/>
      <c r="F219" s="11"/>
      <c r="G219" s="12"/>
      <c r="H219" s="1"/>
      <c r="I219" s="1"/>
    </row>
    <row r="220" spans="2:9" x14ac:dyDescent="0.25">
      <c r="B220" s="10"/>
      <c r="E220" s="11"/>
      <c r="F220" s="11"/>
      <c r="G220" s="12"/>
      <c r="H220" s="1"/>
      <c r="I220" s="1"/>
    </row>
    <row r="221" spans="2:9" x14ac:dyDescent="0.25">
      <c r="B221" s="10"/>
      <c r="E221" s="11"/>
      <c r="F221" s="11"/>
      <c r="G221" s="12"/>
      <c r="H221" s="1"/>
      <c r="I221" s="1"/>
    </row>
    <row r="222" spans="2:9" x14ac:dyDescent="0.25">
      <c r="B222" s="10"/>
      <c r="E222" s="11"/>
      <c r="F222" s="11"/>
      <c r="G222" s="12"/>
      <c r="H222" s="1"/>
      <c r="I222" s="1"/>
    </row>
    <row r="223" spans="2:9" x14ac:dyDescent="0.25">
      <c r="B223" s="10"/>
      <c r="E223" s="11"/>
      <c r="F223" s="11"/>
      <c r="G223" s="12"/>
      <c r="H223" s="1"/>
      <c r="I223" s="1"/>
    </row>
    <row r="224" spans="2:9" x14ac:dyDescent="0.25">
      <c r="B224" s="10"/>
      <c r="E224" s="11"/>
      <c r="F224" s="11"/>
      <c r="G224" s="12"/>
      <c r="H224" s="1"/>
      <c r="I224" s="1"/>
    </row>
    <row r="225" spans="2:9" x14ac:dyDescent="0.25">
      <c r="B225" s="10"/>
      <c r="E225" s="11"/>
      <c r="F225" s="11"/>
      <c r="G225" s="12"/>
      <c r="H225" s="1"/>
      <c r="I225" s="1"/>
    </row>
    <row r="226" spans="2:9" x14ac:dyDescent="0.25">
      <c r="B226" s="10"/>
      <c r="E226" s="11"/>
      <c r="F226" s="11"/>
      <c r="G226" s="12"/>
      <c r="H226" s="1"/>
      <c r="I226" s="1"/>
    </row>
    <row r="227" spans="2:9" x14ac:dyDescent="0.25">
      <c r="B227" s="10"/>
      <c r="E227" s="11"/>
      <c r="F227" s="11"/>
      <c r="G227" s="12"/>
      <c r="H227" s="1"/>
      <c r="I227" s="1"/>
    </row>
    <row r="228" spans="2:9" x14ac:dyDescent="0.25">
      <c r="B228" s="10"/>
      <c r="E228" s="11"/>
      <c r="F228" s="11"/>
      <c r="G228" s="12"/>
      <c r="H228" s="1"/>
      <c r="I228" s="1"/>
    </row>
    <row r="229" spans="2:9" x14ac:dyDescent="0.25">
      <c r="B229" s="10"/>
      <c r="E229" s="11"/>
      <c r="F229" s="11"/>
      <c r="G229" s="12"/>
      <c r="H229" s="1"/>
      <c r="I229" s="1"/>
    </row>
    <row r="230" spans="2:9" x14ac:dyDescent="0.25">
      <c r="B230" s="10"/>
      <c r="E230" s="11"/>
      <c r="F230" s="11"/>
      <c r="G230" s="12"/>
      <c r="H230" s="1"/>
      <c r="I230" s="1"/>
    </row>
    <row r="231" spans="2:9" x14ac:dyDescent="0.25">
      <c r="B231" s="10"/>
      <c r="E231" s="11"/>
      <c r="F231" s="11"/>
      <c r="G231" s="12"/>
      <c r="H231" s="1"/>
      <c r="I231" s="1"/>
    </row>
    <row r="232" spans="2:9" x14ac:dyDescent="0.25">
      <c r="B232" s="10"/>
      <c r="E232" s="11"/>
      <c r="F232" s="11"/>
      <c r="G232" s="12"/>
      <c r="H232" s="1"/>
      <c r="I232" s="1"/>
    </row>
    <row r="233" spans="2:9" x14ac:dyDescent="0.25">
      <c r="B233" s="10"/>
      <c r="E233" s="11"/>
      <c r="F233" s="11"/>
      <c r="G233" s="12"/>
      <c r="H233" s="1"/>
      <c r="I233" s="1"/>
    </row>
    <row r="234" spans="2:9" x14ac:dyDescent="0.25">
      <c r="B234" s="10"/>
      <c r="E234" s="11"/>
      <c r="F234" s="11"/>
      <c r="G234" s="12"/>
      <c r="H234" s="1"/>
      <c r="I234" s="1"/>
    </row>
    <row r="235" spans="2:9" x14ac:dyDescent="0.25">
      <c r="B235" s="10"/>
      <c r="E235" s="11"/>
      <c r="F235" s="11"/>
      <c r="G235" s="12"/>
      <c r="H235" s="1"/>
      <c r="I235" s="1"/>
    </row>
    <row r="236" spans="2:9" x14ac:dyDescent="0.25">
      <c r="B236" s="10"/>
      <c r="E236" s="11"/>
      <c r="F236" s="11"/>
      <c r="G236" s="12"/>
      <c r="H236" s="1"/>
      <c r="I236" s="1"/>
    </row>
    <row r="237" spans="2:9" x14ac:dyDescent="0.25">
      <c r="B237" s="10"/>
      <c r="E237" s="11"/>
      <c r="F237" s="11"/>
      <c r="G237" s="12"/>
      <c r="H237" s="1"/>
      <c r="I237" s="1"/>
    </row>
    <row r="238" spans="2:9" x14ac:dyDescent="0.25">
      <c r="B238" s="10"/>
      <c r="E238" s="11"/>
      <c r="F238" s="11"/>
      <c r="G238" s="12"/>
      <c r="H238" s="1"/>
      <c r="I238" s="1"/>
    </row>
    <row r="239" spans="2:9" x14ac:dyDescent="0.25">
      <c r="B239" s="10"/>
      <c r="E239" s="11"/>
      <c r="F239" s="11"/>
      <c r="G239" s="12"/>
      <c r="H239" s="1"/>
      <c r="I239" s="1"/>
    </row>
    <row r="240" spans="2:9" x14ac:dyDescent="0.25">
      <c r="B240" s="10"/>
      <c r="E240" s="11"/>
      <c r="F240" s="11"/>
      <c r="G240" s="12"/>
      <c r="H240" s="1"/>
      <c r="I240" s="1"/>
    </row>
    <row r="241" spans="2:9" x14ac:dyDescent="0.25">
      <c r="B241" s="10"/>
      <c r="E241" s="11"/>
      <c r="F241" s="11"/>
      <c r="G241" s="12"/>
      <c r="H241" s="1"/>
      <c r="I241" s="1"/>
    </row>
    <row r="242" spans="2:9" x14ac:dyDescent="0.25">
      <c r="B242" s="10"/>
      <c r="E242" s="11"/>
      <c r="F242" s="11"/>
      <c r="G242" s="12"/>
      <c r="H242" s="1"/>
      <c r="I242" s="1"/>
    </row>
    <row r="243" spans="2:9" x14ac:dyDescent="0.25">
      <c r="B243" s="10"/>
      <c r="E243" s="11"/>
      <c r="F243" s="11"/>
      <c r="G243" s="12"/>
      <c r="H243" s="1"/>
      <c r="I243" s="1"/>
    </row>
    <row r="244" spans="2:9" x14ac:dyDescent="0.25">
      <c r="B244" s="10"/>
      <c r="E244" s="11"/>
      <c r="F244" s="11"/>
      <c r="G244" s="12"/>
      <c r="H244" s="1"/>
      <c r="I244" s="1"/>
    </row>
    <row r="245" spans="2:9" x14ac:dyDescent="0.25">
      <c r="B245" s="10"/>
      <c r="E245" s="11"/>
      <c r="F245" s="11"/>
      <c r="G245" s="12"/>
      <c r="H245" s="1"/>
      <c r="I245" s="1"/>
    </row>
    <row r="246" spans="2:9" x14ac:dyDescent="0.25">
      <c r="B246" s="10"/>
      <c r="E246" s="11"/>
      <c r="F246" s="11"/>
      <c r="G246" s="12"/>
      <c r="H246" s="1"/>
      <c r="I246" s="1"/>
    </row>
    <row r="247" spans="2:9" x14ac:dyDescent="0.25">
      <c r="B247" s="10"/>
      <c r="E247" s="11"/>
      <c r="F247" s="11"/>
      <c r="G247" s="12"/>
      <c r="H247" s="1"/>
      <c r="I247" s="1"/>
    </row>
    <row r="248" spans="2:9" x14ac:dyDescent="0.25">
      <c r="B248" s="10"/>
      <c r="E248" s="11"/>
      <c r="F248" s="11"/>
      <c r="G248" s="12"/>
      <c r="H248" s="1"/>
      <c r="I248" s="1"/>
    </row>
    <row r="249" spans="2:9" x14ac:dyDescent="0.25">
      <c r="B249" s="10"/>
      <c r="E249" s="11"/>
      <c r="F249" s="11"/>
      <c r="G249" s="12"/>
      <c r="H249" s="1"/>
      <c r="I249" s="1"/>
    </row>
    <row r="250" spans="2:9" x14ac:dyDescent="0.25">
      <c r="B250" s="10"/>
      <c r="E250" s="11"/>
      <c r="F250" s="11"/>
      <c r="G250" s="12"/>
      <c r="H250" s="1"/>
      <c r="I250" s="1"/>
    </row>
    <row r="251" spans="2:9" x14ac:dyDescent="0.25">
      <c r="B251" s="10"/>
      <c r="E251" s="11"/>
      <c r="F251" s="11"/>
      <c r="G251" s="12"/>
      <c r="H251" s="1"/>
      <c r="I251" s="1"/>
    </row>
    <row r="252" spans="2:9" x14ac:dyDescent="0.25">
      <c r="B252" s="10"/>
      <c r="E252" s="11"/>
      <c r="F252" s="11"/>
      <c r="G252" s="12"/>
      <c r="H252" s="1"/>
      <c r="I252" s="1"/>
    </row>
    <row r="253" spans="2:9" x14ac:dyDescent="0.25">
      <c r="B253" s="10"/>
      <c r="E253" s="11"/>
      <c r="F253" s="11"/>
      <c r="G253" s="12"/>
      <c r="H253" s="1"/>
      <c r="I253" s="1"/>
    </row>
    <row r="254" spans="2:9" x14ac:dyDescent="0.25">
      <c r="B254" s="10"/>
      <c r="E254" s="11"/>
      <c r="F254" s="11"/>
      <c r="G254" s="12"/>
      <c r="H254" s="1"/>
      <c r="I254" s="1"/>
    </row>
    <row r="255" spans="2:9" x14ac:dyDescent="0.25">
      <c r="B255" s="10"/>
      <c r="E255" s="11"/>
      <c r="F255" s="11"/>
      <c r="G255" s="12"/>
      <c r="H255" s="1"/>
      <c r="I255" s="1"/>
    </row>
    <row r="256" spans="2:9" x14ac:dyDescent="0.25">
      <c r="B256" s="10"/>
      <c r="E256" s="11"/>
      <c r="F256" s="11"/>
      <c r="G256" s="12"/>
      <c r="H256" s="1"/>
      <c r="I256" s="1"/>
    </row>
    <row r="257" spans="2:9" x14ac:dyDescent="0.25">
      <c r="B257" s="10"/>
      <c r="E257" s="11"/>
      <c r="F257" s="11"/>
      <c r="G257" s="12"/>
      <c r="H257" s="1"/>
      <c r="I257" s="1"/>
    </row>
    <row r="258" spans="2:9" x14ac:dyDescent="0.25">
      <c r="B258" s="10"/>
      <c r="E258" s="11"/>
      <c r="F258" s="11"/>
      <c r="G258" s="12"/>
      <c r="H258" s="1"/>
      <c r="I258" s="1"/>
    </row>
    <row r="259" spans="2:9" x14ac:dyDescent="0.25">
      <c r="B259" s="10"/>
      <c r="E259" s="11"/>
      <c r="F259" s="11"/>
      <c r="G259" s="12"/>
      <c r="H259" s="1"/>
      <c r="I259" s="1"/>
    </row>
    <row r="260" spans="2:9" x14ac:dyDescent="0.25">
      <c r="B260" s="10"/>
      <c r="E260" s="11"/>
      <c r="F260" s="11"/>
      <c r="G260" s="12"/>
      <c r="H260" s="1"/>
      <c r="I260" s="1"/>
    </row>
    <row r="261" spans="2:9" x14ac:dyDescent="0.25">
      <c r="B261" s="10"/>
      <c r="E261" s="11"/>
      <c r="F261" s="11"/>
      <c r="G261" s="12"/>
      <c r="H261" s="1"/>
      <c r="I261" s="1"/>
    </row>
    <row r="262" spans="2:9" x14ac:dyDescent="0.25">
      <c r="B262" s="10"/>
      <c r="E262" s="11"/>
      <c r="F262" s="11"/>
      <c r="G262" s="12"/>
      <c r="H262" s="1"/>
      <c r="I262" s="1"/>
    </row>
    <row r="263" spans="2:9" x14ac:dyDescent="0.25">
      <c r="B263" s="10"/>
      <c r="E263" s="11"/>
      <c r="F263" s="11"/>
      <c r="G263" s="12"/>
      <c r="H263" s="1"/>
      <c r="I263" s="1"/>
    </row>
    <row r="264" spans="2:9" x14ac:dyDescent="0.25">
      <c r="B264" s="10"/>
      <c r="E264" s="11"/>
      <c r="F264" s="11"/>
      <c r="G264" s="12"/>
      <c r="H264" s="1"/>
      <c r="I264" s="1"/>
    </row>
    <row r="265" spans="2:9" x14ac:dyDescent="0.25">
      <c r="B265" s="10"/>
      <c r="E265" s="11"/>
      <c r="F265" s="11"/>
      <c r="G265" s="12"/>
      <c r="H265" s="1"/>
      <c r="I265" s="1"/>
    </row>
    <row r="266" spans="2:9" x14ac:dyDescent="0.25">
      <c r="B266" s="10"/>
      <c r="E266" s="11"/>
      <c r="F266" s="11"/>
      <c r="G266" s="12"/>
      <c r="H266" s="1"/>
      <c r="I266" s="1"/>
    </row>
    <row r="267" spans="2:9" x14ac:dyDescent="0.25">
      <c r="B267" s="10"/>
      <c r="E267" s="11"/>
      <c r="F267" s="11"/>
      <c r="G267" s="12"/>
      <c r="H267" s="1"/>
      <c r="I267" s="1"/>
    </row>
    <row r="268" spans="2:9" x14ac:dyDescent="0.25">
      <c r="B268" s="10"/>
      <c r="E268" s="11"/>
      <c r="F268" s="11"/>
      <c r="G268" s="12"/>
      <c r="H268" s="1"/>
      <c r="I268" s="1"/>
    </row>
    <row r="269" spans="2:9" x14ac:dyDescent="0.25">
      <c r="B269" s="10"/>
      <c r="E269" s="11"/>
      <c r="F269" s="11"/>
      <c r="G269" s="12"/>
      <c r="H269" s="1"/>
      <c r="I269" s="1"/>
    </row>
    <row r="270" spans="2:9" x14ac:dyDescent="0.25">
      <c r="B270" s="10"/>
      <c r="E270" s="11"/>
      <c r="F270" s="11"/>
      <c r="G270" s="12"/>
      <c r="H270" s="1"/>
      <c r="I270" s="1"/>
    </row>
    <row r="271" spans="2:9" x14ac:dyDescent="0.25">
      <c r="B271" s="10"/>
      <c r="E271" s="11"/>
      <c r="F271" s="11"/>
      <c r="G271" s="12"/>
      <c r="H271" s="1"/>
      <c r="I271" s="1"/>
    </row>
    <row r="272" spans="2:9" x14ac:dyDescent="0.25">
      <c r="B272" s="10"/>
      <c r="E272" s="11"/>
      <c r="F272" s="11"/>
      <c r="G272" s="12"/>
      <c r="H272" s="1"/>
      <c r="I272" s="1"/>
    </row>
    <row r="273" spans="2:9" x14ac:dyDescent="0.25">
      <c r="B273" s="10"/>
      <c r="E273" s="11"/>
      <c r="F273" s="11"/>
      <c r="G273" s="12"/>
      <c r="H273" s="1"/>
      <c r="I273" s="1"/>
    </row>
    <row r="274" spans="2:9" x14ac:dyDescent="0.25">
      <c r="B274" s="10"/>
      <c r="E274" s="11"/>
      <c r="F274" s="11"/>
      <c r="G274" s="12"/>
      <c r="H274" s="1"/>
      <c r="I274" s="1"/>
    </row>
    <row r="275" spans="2:9" x14ac:dyDescent="0.25">
      <c r="B275" s="10"/>
      <c r="E275" s="11"/>
      <c r="F275" s="11"/>
      <c r="G275" s="12"/>
      <c r="H275" s="1"/>
      <c r="I275" s="1"/>
    </row>
    <row r="276" spans="2:9" x14ac:dyDescent="0.25">
      <c r="B276" s="10"/>
      <c r="E276" s="11"/>
      <c r="F276" s="11"/>
      <c r="G276" s="12"/>
      <c r="H276" s="1"/>
      <c r="I276" s="1"/>
    </row>
    <row r="277" spans="2:9" x14ac:dyDescent="0.25">
      <c r="B277" s="10"/>
      <c r="E277" s="11"/>
      <c r="F277" s="11"/>
      <c r="G277" s="12"/>
      <c r="H277" s="1"/>
      <c r="I277" s="1"/>
    </row>
    <row r="278" spans="2:9" x14ac:dyDescent="0.25">
      <c r="B278" s="10"/>
      <c r="E278" s="11"/>
      <c r="F278" s="11"/>
      <c r="G278" s="12"/>
      <c r="H278" s="1"/>
      <c r="I278" s="1"/>
    </row>
    <row r="279" spans="2:9" x14ac:dyDescent="0.25">
      <c r="B279" s="10"/>
      <c r="E279" s="11"/>
      <c r="F279" s="11"/>
      <c r="G279" s="12"/>
      <c r="H279" s="1"/>
      <c r="I279" s="1"/>
    </row>
    <row r="280" spans="2:9" x14ac:dyDescent="0.25">
      <c r="B280" s="10"/>
      <c r="E280" s="11"/>
      <c r="F280" s="11"/>
      <c r="G280" s="12"/>
      <c r="H280" s="1"/>
      <c r="I280" s="1"/>
    </row>
    <row r="281" spans="2:9" x14ac:dyDescent="0.25">
      <c r="B281" s="10"/>
      <c r="E281" s="11"/>
      <c r="F281" s="11"/>
      <c r="G281" s="12"/>
      <c r="H281" s="1"/>
      <c r="I281" s="1"/>
    </row>
    <row r="282" spans="2:9" x14ac:dyDescent="0.25">
      <c r="B282" s="10"/>
      <c r="E282" s="11"/>
      <c r="F282" s="11"/>
      <c r="G282" s="12"/>
      <c r="H282" s="1"/>
      <c r="I282" s="1"/>
    </row>
    <row r="283" spans="2:9" x14ac:dyDescent="0.25">
      <c r="B283" s="10"/>
      <c r="E283" s="11"/>
      <c r="F283" s="11"/>
      <c r="G283" s="12"/>
      <c r="H283" s="1"/>
      <c r="I283" s="1"/>
    </row>
    <row r="284" spans="2:9" x14ac:dyDescent="0.25">
      <c r="B284" s="10"/>
      <c r="E284" s="11"/>
      <c r="F284" s="11"/>
      <c r="G284" s="12"/>
      <c r="H284" s="1"/>
      <c r="I284" s="1"/>
    </row>
    <row r="285" spans="2:9" x14ac:dyDescent="0.25">
      <c r="B285" s="10"/>
      <c r="E285" s="11"/>
      <c r="F285" s="11"/>
      <c r="G285" s="12"/>
      <c r="H285" s="1"/>
      <c r="I285" s="1"/>
    </row>
    <row r="286" spans="2:9" x14ac:dyDescent="0.25">
      <c r="B286" s="10"/>
      <c r="E286" s="11"/>
      <c r="F286" s="11"/>
      <c r="G286" s="12"/>
      <c r="H286" s="1"/>
      <c r="I286" s="1"/>
    </row>
    <row r="287" spans="2:9" x14ac:dyDescent="0.25">
      <c r="B287" s="10"/>
      <c r="E287" s="11"/>
      <c r="F287" s="11"/>
      <c r="G287" s="12"/>
      <c r="H287" s="1"/>
      <c r="I287" s="1"/>
    </row>
    <row r="288" spans="2:9" x14ac:dyDescent="0.25">
      <c r="B288" s="10"/>
      <c r="E288" s="11"/>
      <c r="F288" s="11"/>
      <c r="G288" s="12"/>
      <c r="H288" s="1"/>
      <c r="I288" s="1"/>
    </row>
    <row r="289" spans="2:9" x14ac:dyDescent="0.25">
      <c r="B289" s="10"/>
      <c r="E289" s="11"/>
      <c r="F289" s="11"/>
      <c r="G289" s="12"/>
      <c r="H289" s="1"/>
      <c r="I289" s="1"/>
    </row>
    <row r="290" spans="2:9" x14ac:dyDescent="0.25">
      <c r="B290" s="10"/>
      <c r="E290" s="11"/>
      <c r="F290" s="11"/>
      <c r="G290" s="12"/>
      <c r="H290" s="1"/>
      <c r="I290" s="1"/>
    </row>
    <row r="291" spans="2:9" x14ac:dyDescent="0.25">
      <c r="B291" s="10"/>
      <c r="E291" s="11"/>
      <c r="F291" s="11"/>
      <c r="G291" s="12"/>
      <c r="H291" s="1"/>
      <c r="I291" s="1"/>
    </row>
    <row r="292" spans="2:9" x14ac:dyDescent="0.25">
      <c r="B292" s="10"/>
      <c r="E292" s="11"/>
      <c r="F292" s="11"/>
      <c r="G292" s="12"/>
      <c r="H292" s="1"/>
      <c r="I292" s="1"/>
    </row>
    <row r="293" spans="2:9" x14ac:dyDescent="0.25">
      <c r="B293" s="10"/>
      <c r="E293" s="11"/>
      <c r="F293" s="11"/>
      <c r="G293" s="12"/>
      <c r="H293" s="1"/>
      <c r="I293" s="1"/>
    </row>
    <row r="294" spans="2:9" x14ac:dyDescent="0.25">
      <c r="B294" s="10"/>
      <c r="E294" s="11"/>
      <c r="F294" s="11"/>
      <c r="G294" s="12"/>
      <c r="H294" s="1"/>
      <c r="I294" s="1"/>
    </row>
    <row r="295" spans="2:9" x14ac:dyDescent="0.25">
      <c r="B295" s="10"/>
      <c r="E295" s="11"/>
      <c r="F295" s="11"/>
      <c r="G295" s="12"/>
      <c r="H295" s="1"/>
      <c r="I295" s="1"/>
    </row>
    <row r="296" spans="2:9" x14ac:dyDescent="0.25">
      <c r="B296" s="10"/>
      <c r="E296" s="11"/>
      <c r="F296" s="11"/>
      <c r="G296" s="12"/>
      <c r="H296" s="1"/>
      <c r="I296" s="1"/>
    </row>
    <row r="297" spans="2:9" x14ac:dyDescent="0.25">
      <c r="B297" s="10"/>
      <c r="E297" s="11"/>
      <c r="F297" s="11"/>
      <c r="G297" s="12"/>
      <c r="H297" s="1"/>
      <c r="I297" s="1"/>
    </row>
    <row r="298" spans="2:9" x14ac:dyDescent="0.25">
      <c r="B298" s="10"/>
      <c r="E298" s="11"/>
      <c r="F298" s="11"/>
      <c r="G298" s="12"/>
      <c r="H298" s="1"/>
      <c r="I298" s="1"/>
    </row>
    <row r="299" spans="2:9" x14ac:dyDescent="0.25">
      <c r="B299" s="10"/>
      <c r="E299" s="11"/>
      <c r="F299" s="11"/>
      <c r="G299" s="12"/>
      <c r="H299" s="1"/>
      <c r="I299" s="1"/>
    </row>
    <row r="300" spans="2:9" x14ac:dyDescent="0.25">
      <c r="B300" s="10"/>
      <c r="E300" s="11"/>
      <c r="F300" s="11"/>
      <c r="G300" s="12"/>
      <c r="H300" s="1"/>
      <c r="I300" s="1"/>
    </row>
    <row r="301" spans="2:9" x14ac:dyDescent="0.25">
      <c r="B301" s="10"/>
      <c r="E301" s="11"/>
      <c r="F301" s="11"/>
      <c r="G301" s="12"/>
      <c r="H301" s="1"/>
      <c r="I301" s="1"/>
    </row>
    <row r="302" spans="2:9" x14ac:dyDescent="0.25">
      <c r="B302" s="10"/>
      <c r="E302" s="11"/>
      <c r="F302" s="11"/>
      <c r="G302" s="12"/>
      <c r="H302" s="1"/>
      <c r="I302" s="1"/>
    </row>
    <row r="303" spans="2:9" x14ac:dyDescent="0.25">
      <c r="B303" s="10"/>
      <c r="E303" s="11"/>
      <c r="F303" s="11"/>
      <c r="G303" s="12"/>
      <c r="H303" s="1"/>
      <c r="I303" s="1"/>
    </row>
    <row r="304" spans="2:9" x14ac:dyDescent="0.25">
      <c r="B304" s="10"/>
      <c r="E304" s="11"/>
      <c r="F304" s="11"/>
      <c r="G304" s="12"/>
      <c r="H304" s="1"/>
      <c r="I304" s="1"/>
    </row>
    <row r="305" spans="2:9" x14ac:dyDescent="0.25">
      <c r="B305" s="10"/>
      <c r="E305" s="11"/>
      <c r="F305" s="11"/>
      <c r="G305" s="12"/>
      <c r="H305" s="1"/>
      <c r="I305" s="1"/>
    </row>
    <row r="306" spans="2:9" x14ac:dyDescent="0.25">
      <c r="B306" s="10"/>
      <c r="E306" s="11"/>
      <c r="F306" s="11"/>
      <c r="G306" s="12"/>
      <c r="H306" s="1"/>
      <c r="I306" s="1"/>
    </row>
    <row r="307" spans="2:9" x14ac:dyDescent="0.25">
      <c r="B307" s="10"/>
      <c r="E307" s="11"/>
      <c r="F307" s="11"/>
      <c r="G307" s="12"/>
      <c r="H307" s="1"/>
      <c r="I307" s="1"/>
    </row>
    <row r="308" spans="2:9" x14ac:dyDescent="0.25">
      <c r="B308" s="10"/>
      <c r="E308" s="11"/>
      <c r="F308" s="11"/>
      <c r="G308" s="12"/>
      <c r="H308" s="1"/>
      <c r="I308" s="1"/>
    </row>
    <row r="309" spans="2:9" x14ac:dyDescent="0.25">
      <c r="B309" s="10"/>
      <c r="E309" s="11"/>
      <c r="F309" s="11"/>
      <c r="G309" s="12"/>
      <c r="H309" s="1"/>
      <c r="I309" s="1"/>
    </row>
    <row r="310" spans="2:9" x14ac:dyDescent="0.25">
      <c r="B310" s="10"/>
      <c r="E310" s="11"/>
      <c r="F310" s="11"/>
      <c r="G310" s="12"/>
      <c r="H310" s="1"/>
      <c r="I310" s="1"/>
    </row>
    <row r="311" spans="2:9" x14ac:dyDescent="0.25">
      <c r="B311" s="10"/>
      <c r="E311" s="11"/>
      <c r="F311" s="11"/>
      <c r="G311" s="12"/>
      <c r="H311" s="1"/>
      <c r="I311" s="1"/>
    </row>
    <row r="312" spans="2:9" x14ac:dyDescent="0.25">
      <c r="B312" s="10"/>
      <c r="E312" s="11"/>
      <c r="F312" s="11"/>
      <c r="G312" s="12"/>
      <c r="H312" s="1"/>
      <c r="I312" s="1"/>
    </row>
    <row r="313" spans="2:9" x14ac:dyDescent="0.25">
      <c r="B313" s="10"/>
      <c r="E313" s="11"/>
      <c r="F313" s="11"/>
      <c r="G313" s="12"/>
      <c r="H313" s="1"/>
      <c r="I313" s="1"/>
    </row>
    <row r="314" spans="2:9" x14ac:dyDescent="0.25">
      <c r="B314" s="10"/>
      <c r="E314" s="11"/>
      <c r="F314" s="11"/>
      <c r="G314" s="12"/>
      <c r="H314" s="1"/>
      <c r="I314" s="1"/>
    </row>
    <row r="315" spans="2:9" x14ac:dyDescent="0.25">
      <c r="B315" s="10"/>
      <c r="E315" s="11"/>
      <c r="F315" s="11"/>
      <c r="G315" s="12"/>
      <c r="H315" s="1"/>
      <c r="I315" s="1"/>
    </row>
    <row r="316" spans="2:9" x14ac:dyDescent="0.25">
      <c r="B316" s="10"/>
      <c r="E316" s="11"/>
      <c r="F316" s="11"/>
      <c r="G316" s="12"/>
      <c r="H316" s="1"/>
      <c r="I316" s="1"/>
    </row>
    <row r="317" spans="2:9" x14ac:dyDescent="0.25">
      <c r="B317" s="10"/>
      <c r="E317" s="11"/>
      <c r="F317" s="11"/>
      <c r="G317" s="12"/>
      <c r="H317" s="1"/>
      <c r="I317" s="1"/>
    </row>
    <row r="318" spans="2:9" x14ac:dyDescent="0.25">
      <c r="B318" s="10"/>
      <c r="E318" s="11"/>
      <c r="F318" s="11"/>
      <c r="G318" s="12"/>
      <c r="H318" s="1"/>
      <c r="I318" s="1"/>
    </row>
    <row r="319" spans="2:9" x14ac:dyDescent="0.25">
      <c r="B319" s="10"/>
      <c r="E319" s="11"/>
      <c r="F319" s="11"/>
      <c r="G319" s="12"/>
      <c r="H319" s="1"/>
      <c r="I319" s="1"/>
    </row>
    <row r="320" spans="2:9" x14ac:dyDescent="0.25">
      <c r="B320" s="10"/>
      <c r="E320" s="11"/>
      <c r="F320" s="11"/>
      <c r="G320" s="12"/>
      <c r="H320" s="1"/>
      <c r="I320" s="1"/>
    </row>
    <row r="321" spans="2:9" x14ac:dyDescent="0.25">
      <c r="B321" s="10"/>
      <c r="E321" s="11"/>
      <c r="F321" s="11"/>
      <c r="G321" s="12"/>
      <c r="H321" s="1"/>
      <c r="I321" s="1"/>
    </row>
    <row r="322" spans="2:9" x14ac:dyDescent="0.25">
      <c r="B322" s="10"/>
      <c r="E322" s="11"/>
      <c r="F322" s="11"/>
      <c r="G322" s="12"/>
      <c r="H322" s="1"/>
      <c r="I322" s="1"/>
    </row>
    <row r="323" spans="2:9" x14ac:dyDescent="0.25">
      <c r="B323" s="10"/>
      <c r="E323" s="11"/>
      <c r="F323" s="11"/>
      <c r="G323" s="12"/>
      <c r="H323" s="1"/>
      <c r="I323" s="1"/>
    </row>
    <row r="324" spans="2:9" x14ac:dyDescent="0.25">
      <c r="B324" s="10"/>
      <c r="E324" s="11"/>
      <c r="F324" s="11"/>
      <c r="G324" s="12"/>
      <c r="H324" s="1"/>
      <c r="I324" s="1"/>
    </row>
    <row r="325" spans="2:9" x14ac:dyDescent="0.25">
      <c r="B325" s="10"/>
      <c r="E325" s="11"/>
      <c r="F325" s="11"/>
      <c r="G325" s="12"/>
      <c r="H325" s="1"/>
      <c r="I325" s="1"/>
    </row>
    <row r="326" spans="2:9" x14ac:dyDescent="0.25">
      <c r="B326" s="10"/>
      <c r="E326" s="11"/>
      <c r="F326" s="11"/>
      <c r="G326" s="12"/>
      <c r="H326" s="1"/>
      <c r="I326" s="1"/>
    </row>
    <row r="327" spans="2:9" x14ac:dyDescent="0.25">
      <c r="B327" s="10"/>
      <c r="E327" s="11"/>
      <c r="F327" s="11"/>
      <c r="G327" s="12"/>
      <c r="H327" s="1"/>
      <c r="I327" s="1"/>
    </row>
    <row r="328" spans="2:9" x14ac:dyDescent="0.25">
      <c r="B328" s="10"/>
      <c r="E328" s="11"/>
      <c r="F328" s="11"/>
      <c r="G328" s="12"/>
      <c r="H328" s="1"/>
      <c r="I328" s="1"/>
    </row>
    <row r="329" spans="2:9" x14ac:dyDescent="0.25">
      <c r="B329" s="10"/>
      <c r="E329" s="11"/>
      <c r="F329" s="11"/>
      <c r="G329" s="12"/>
      <c r="H329" s="1"/>
      <c r="I329" s="1"/>
    </row>
    <row r="330" spans="2:9" x14ac:dyDescent="0.25">
      <c r="B330" s="10"/>
      <c r="E330" s="11"/>
      <c r="F330" s="11"/>
      <c r="G330" s="12"/>
      <c r="H330" s="1"/>
      <c r="I330" s="1"/>
    </row>
    <row r="331" spans="2:9" x14ac:dyDescent="0.25">
      <c r="B331" s="10"/>
      <c r="E331" s="11"/>
      <c r="F331" s="11"/>
      <c r="G331" s="12"/>
      <c r="H331" s="1"/>
      <c r="I331" s="1"/>
    </row>
    <row r="332" spans="2:9" x14ac:dyDescent="0.25">
      <c r="B332" s="10"/>
      <c r="E332" s="11"/>
      <c r="F332" s="11"/>
      <c r="G332" s="12"/>
      <c r="H332" s="1"/>
      <c r="I332" s="1"/>
    </row>
    <row r="333" spans="2:9" x14ac:dyDescent="0.25">
      <c r="B333" s="10"/>
      <c r="E333" s="11"/>
      <c r="F333" s="11"/>
      <c r="G333" s="12"/>
      <c r="H333" s="1"/>
      <c r="I333" s="1"/>
    </row>
    <row r="334" spans="2:9" x14ac:dyDescent="0.25">
      <c r="B334" s="10"/>
      <c r="E334" s="11"/>
      <c r="F334" s="11"/>
      <c r="G334" s="12"/>
      <c r="H334" s="1"/>
      <c r="I334" s="1"/>
    </row>
    <row r="335" spans="2:9" x14ac:dyDescent="0.25">
      <c r="B335" s="10"/>
      <c r="E335" s="11"/>
      <c r="F335" s="11"/>
      <c r="G335" s="12"/>
      <c r="H335" s="1"/>
      <c r="I335" s="1"/>
    </row>
    <row r="336" spans="2:9" x14ac:dyDescent="0.25">
      <c r="B336" s="10"/>
      <c r="E336" s="11"/>
      <c r="F336" s="11"/>
      <c r="G336" s="12"/>
      <c r="H336" s="1"/>
      <c r="I336" s="1"/>
    </row>
    <row r="337" spans="2:9" x14ac:dyDescent="0.25">
      <c r="B337" s="10"/>
      <c r="E337" s="11"/>
      <c r="F337" s="11"/>
      <c r="G337" s="12"/>
      <c r="H337" s="1"/>
      <c r="I337" s="1"/>
    </row>
    <row r="338" spans="2:9" x14ac:dyDescent="0.25">
      <c r="B338" s="10"/>
      <c r="E338" s="11"/>
      <c r="F338" s="11"/>
      <c r="G338" s="12"/>
      <c r="H338" s="1"/>
      <c r="I338" s="1"/>
    </row>
    <row r="339" spans="2:9" x14ac:dyDescent="0.25">
      <c r="B339" s="10"/>
      <c r="E339" s="11"/>
      <c r="F339" s="11"/>
      <c r="G339" s="12"/>
      <c r="H339" s="1"/>
      <c r="I339" s="1"/>
    </row>
    <row r="340" spans="2:9" x14ac:dyDescent="0.25">
      <c r="B340" s="10"/>
      <c r="E340" s="11"/>
      <c r="F340" s="11"/>
      <c r="G340" s="12"/>
      <c r="H340" s="1"/>
      <c r="I340" s="1"/>
    </row>
    <row r="341" spans="2:9" x14ac:dyDescent="0.25">
      <c r="B341" s="10"/>
      <c r="E341" s="11"/>
      <c r="F341" s="11"/>
      <c r="G341" s="12"/>
      <c r="H341" s="1"/>
      <c r="I341" s="1"/>
    </row>
    <row r="342" spans="2:9" x14ac:dyDescent="0.25">
      <c r="B342" s="10"/>
      <c r="E342" s="11"/>
      <c r="F342" s="11"/>
      <c r="G342" s="12"/>
      <c r="H342" s="1"/>
      <c r="I342" s="1"/>
    </row>
    <row r="343" spans="2:9" x14ac:dyDescent="0.25">
      <c r="B343" s="10"/>
      <c r="E343" s="11"/>
      <c r="F343" s="11"/>
      <c r="G343" s="12"/>
      <c r="H343" s="1"/>
      <c r="I343" s="1"/>
    </row>
    <row r="344" spans="2:9" x14ac:dyDescent="0.25">
      <c r="B344" s="10"/>
      <c r="E344" s="11"/>
      <c r="F344" s="11"/>
      <c r="G344" s="12"/>
      <c r="H344" s="1"/>
      <c r="I344" s="1"/>
    </row>
    <row r="345" spans="2:9" x14ac:dyDescent="0.25">
      <c r="B345" s="10"/>
      <c r="E345" s="11"/>
      <c r="F345" s="11"/>
      <c r="G345" s="12"/>
      <c r="H345" s="1"/>
      <c r="I345" s="1"/>
    </row>
    <row r="346" spans="2:9" x14ac:dyDescent="0.25">
      <c r="B346" s="10"/>
      <c r="E346" s="11"/>
      <c r="F346" s="11"/>
      <c r="G346" s="12"/>
      <c r="H346" s="1"/>
      <c r="I346" s="1"/>
    </row>
    <row r="347" spans="2:9" x14ac:dyDescent="0.25">
      <c r="B347" s="10"/>
      <c r="E347" s="11"/>
      <c r="F347" s="11"/>
      <c r="G347" s="12"/>
      <c r="H347" s="1"/>
      <c r="I347" s="1"/>
    </row>
    <row r="348" spans="2:9" x14ac:dyDescent="0.25">
      <c r="B348" s="10"/>
      <c r="E348" s="11"/>
      <c r="F348" s="11"/>
      <c r="G348" s="12"/>
      <c r="H348" s="1"/>
      <c r="I348" s="1"/>
    </row>
    <row r="349" spans="2:9" x14ac:dyDescent="0.25">
      <c r="B349" s="10"/>
      <c r="E349" s="11"/>
      <c r="F349" s="11"/>
      <c r="G349" s="12"/>
      <c r="H349" s="1"/>
      <c r="I349" s="1"/>
    </row>
    <row r="350" spans="2:9" x14ac:dyDescent="0.25">
      <c r="B350" s="10"/>
      <c r="E350" s="11"/>
      <c r="F350" s="11"/>
      <c r="G350" s="12"/>
      <c r="H350" s="1"/>
      <c r="I350" s="1"/>
    </row>
    <row r="351" spans="2:9" x14ac:dyDescent="0.25">
      <c r="B351" s="10"/>
      <c r="E351" s="11"/>
      <c r="F351" s="11"/>
      <c r="G351" s="12"/>
      <c r="H351" s="1"/>
      <c r="I351" s="1"/>
    </row>
    <row r="352" spans="2:9" x14ac:dyDescent="0.25">
      <c r="B352" s="10"/>
      <c r="E352" s="11"/>
      <c r="F352" s="11"/>
      <c r="G352" s="12"/>
      <c r="H352" s="1"/>
      <c r="I352" s="1"/>
    </row>
    <row r="353" spans="2:9" x14ac:dyDescent="0.25">
      <c r="B353" s="10"/>
      <c r="E353" s="11"/>
      <c r="F353" s="11"/>
      <c r="G353" s="12"/>
      <c r="H353" s="1"/>
      <c r="I353" s="1"/>
    </row>
    <row r="354" spans="2:9" x14ac:dyDescent="0.25">
      <c r="B354" s="10"/>
      <c r="E354" s="11"/>
      <c r="F354" s="11"/>
      <c r="G354" s="12"/>
      <c r="H354" s="1"/>
      <c r="I354" s="1"/>
    </row>
    <row r="355" spans="2:9" x14ac:dyDescent="0.25">
      <c r="B355" s="10"/>
      <c r="E355" s="11"/>
      <c r="F355" s="11"/>
      <c r="G355" s="12"/>
      <c r="H355" s="1"/>
      <c r="I355" s="1"/>
    </row>
    <row r="356" spans="2:9" x14ac:dyDescent="0.25">
      <c r="B356" s="10"/>
      <c r="E356" s="11"/>
      <c r="F356" s="11"/>
      <c r="G356" s="12"/>
      <c r="H356" s="1"/>
      <c r="I356" s="1"/>
    </row>
    <row r="357" spans="2:9" x14ac:dyDescent="0.25">
      <c r="B357" s="10"/>
      <c r="E357" s="11"/>
      <c r="F357" s="11"/>
      <c r="G357" s="12"/>
      <c r="H357" s="1"/>
      <c r="I357" s="1"/>
    </row>
    <row r="358" spans="2:9" x14ac:dyDescent="0.25">
      <c r="B358" s="10"/>
      <c r="E358" s="11"/>
      <c r="F358" s="11"/>
      <c r="G358" s="12"/>
      <c r="H358" s="1"/>
      <c r="I358" s="1"/>
    </row>
    <row r="359" spans="2:9" x14ac:dyDescent="0.25">
      <c r="B359" s="10"/>
      <c r="E359" s="11"/>
      <c r="F359" s="11"/>
      <c r="G359" s="12"/>
      <c r="H359" s="1"/>
      <c r="I359" s="1"/>
    </row>
    <row r="360" spans="2:9" x14ac:dyDescent="0.25">
      <c r="B360" s="10"/>
      <c r="E360" s="11"/>
      <c r="F360" s="11"/>
      <c r="G360" s="12"/>
      <c r="H360" s="1"/>
      <c r="I360" s="1"/>
    </row>
    <row r="361" spans="2:9" x14ac:dyDescent="0.25">
      <c r="B361" s="10"/>
      <c r="E361" s="11"/>
      <c r="F361" s="11"/>
      <c r="G361" s="12"/>
      <c r="H361" s="1"/>
      <c r="I361" s="1"/>
    </row>
    <row r="362" spans="2:9" x14ac:dyDescent="0.25">
      <c r="B362" s="10"/>
      <c r="E362" s="11"/>
      <c r="F362" s="11"/>
      <c r="G362" s="12"/>
      <c r="H362" s="1"/>
      <c r="I362" s="1"/>
    </row>
    <row r="363" spans="2:9" x14ac:dyDescent="0.25">
      <c r="B363" s="10"/>
      <c r="E363" s="11"/>
      <c r="F363" s="11"/>
      <c r="G363" s="12"/>
      <c r="H363" s="1"/>
      <c r="I363" s="1"/>
    </row>
    <row r="364" spans="2:9" x14ac:dyDescent="0.25">
      <c r="B364" s="10"/>
      <c r="E364" s="11"/>
      <c r="F364" s="11"/>
      <c r="G364" s="12"/>
      <c r="H364" s="1"/>
      <c r="I364" s="1"/>
    </row>
    <row r="365" spans="2:9" x14ac:dyDescent="0.25">
      <c r="B365" s="10"/>
      <c r="E365" s="11"/>
      <c r="F365" s="11"/>
      <c r="G365" s="12"/>
      <c r="H365" s="1"/>
      <c r="I365" s="1"/>
    </row>
    <row r="366" spans="2:9" x14ac:dyDescent="0.25">
      <c r="B366" s="10"/>
      <c r="E366" s="11"/>
      <c r="F366" s="11"/>
      <c r="G366" s="12"/>
      <c r="H366" s="1"/>
      <c r="I366" s="1"/>
    </row>
    <row r="367" spans="2:9" x14ac:dyDescent="0.25">
      <c r="B367" s="10"/>
      <c r="E367" s="11"/>
      <c r="F367" s="11"/>
      <c r="G367" s="12"/>
      <c r="H367" s="1"/>
      <c r="I367" s="1"/>
    </row>
    <row r="368" spans="2:9" x14ac:dyDescent="0.25">
      <c r="B368" s="10"/>
      <c r="E368" s="11"/>
      <c r="F368" s="11"/>
      <c r="G368" s="12"/>
      <c r="H368" s="1"/>
      <c r="I368" s="1"/>
    </row>
    <row r="369" spans="2:9" x14ac:dyDescent="0.25">
      <c r="B369" s="10"/>
      <c r="E369" s="11"/>
      <c r="F369" s="11"/>
      <c r="G369" s="12"/>
      <c r="H369" s="1"/>
      <c r="I369" s="1"/>
    </row>
    <row r="370" spans="2:9" x14ac:dyDescent="0.25">
      <c r="B370" s="10"/>
      <c r="E370" s="11"/>
      <c r="F370" s="11"/>
      <c r="G370" s="12"/>
      <c r="H370" s="1"/>
      <c r="I370" s="1"/>
    </row>
    <row r="371" spans="2:9" x14ac:dyDescent="0.25">
      <c r="B371" s="10"/>
      <c r="E371" s="11"/>
      <c r="F371" s="11"/>
      <c r="G371" s="12"/>
      <c r="H371" s="1"/>
      <c r="I371" s="1"/>
    </row>
    <row r="372" spans="2:9" x14ac:dyDescent="0.25">
      <c r="B372" s="10"/>
      <c r="E372" s="11"/>
      <c r="F372" s="11"/>
      <c r="G372" s="12"/>
      <c r="H372" s="1"/>
      <c r="I372" s="1"/>
    </row>
    <row r="373" spans="2:9" x14ac:dyDescent="0.25">
      <c r="B373" s="10"/>
      <c r="E373" s="11"/>
      <c r="F373" s="11"/>
      <c r="G373" s="12"/>
      <c r="H373" s="1"/>
      <c r="I373" s="1"/>
    </row>
    <row r="374" spans="2:9" x14ac:dyDescent="0.25">
      <c r="B374" s="10"/>
      <c r="E374" s="11"/>
      <c r="F374" s="11"/>
      <c r="G374" s="12"/>
      <c r="H374" s="1"/>
      <c r="I374" s="1"/>
    </row>
    <row r="375" spans="2:9" x14ac:dyDescent="0.25">
      <c r="B375" s="10"/>
      <c r="E375" s="11"/>
      <c r="F375" s="11"/>
      <c r="G375" s="12"/>
      <c r="H375" s="1"/>
      <c r="I375" s="1"/>
    </row>
    <row r="376" spans="2:9" x14ac:dyDescent="0.25">
      <c r="B376" s="10"/>
      <c r="E376" s="11"/>
      <c r="F376" s="11"/>
      <c r="G376" s="12"/>
      <c r="H376" s="1"/>
      <c r="I376" s="1"/>
    </row>
    <row r="377" spans="2:9" x14ac:dyDescent="0.25">
      <c r="B377" s="10"/>
      <c r="E377" s="11"/>
      <c r="F377" s="11"/>
      <c r="G377" s="12"/>
      <c r="H377" s="1"/>
      <c r="I377" s="1"/>
    </row>
    <row r="378" spans="2:9" x14ac:dyDescent="0.25">
      <c r="B378" s="10"/>
      <c r="E378" s="11"/>
      <c r="F378" s="11"/>
      <c r="G378" s="12"/>
      <c r="H378" s="1"/>
      <c r="I378" s="1"/>
    </row>
    <row r="379" spans="2:9" x14ac:dyDescent="0.25">
      <c r="B379" s="10"/>
      <c r="E379" s="11"/>
      <c r="F379" s="11"/>
      <c r="G379" s="12"/>
      <c r="H379" s="1"/>
      <c r="I379" s="1"/>
    </row>
    <row r="380" spans="2:9" x14ac:dyDescent="0.25">
      <c r="B380" s="10"/>
      <c r="E380" s="11"/>
      <c r="F380" s="11"/>
      <c r="G380" s="12"/>
      <c r="H380" s="1"/>
      <c r="I380" s="1"/>
    </row>
    <row r="381" spans="2:9" x14ac:dyDescent="0.25">
      <c r="B381" s="10"/>
      <c r="E381" s="11"/>
      <c r="F381" s="11"/>
      <c r="G381" s="12"/>
      <c r="H381" s="1"/>
      <c r="I381" s="1"/>
    </row>
    <row r="382" spans="2:9" x14ac:dyDescent="0.25">
      <c r="B382" s="10"/>
      <c r="E382" s="11"/>
      <c r="F382" s="11"/>
      <c r="G382" s="12"/>
      <c r="H382" s="1"/>
      <c r="I382" s="1"/>
    </row>
    <row r="383" spans="2:9" x14ac:dyDescent="0.25">
      <c r="B383" s="10"/>
      <c r="E383" s="11"/>
      <c r="F383" s="11"/>
      <c r="G383" s="12"/>
      <c r="H383" s="1"/>
      <c r="I383" s="1"/>
    </row>
    <row r="384" spans="2:9" x14ac:dyDescent="0.25">
      <c r="B384" s="10"/>
      <c r="E384" s="11"/>
      <c r="F384" s="11"/>
      <c r="G384" s="12"/>
      <c r="H384" s="1"/>
      <c r="I384" s="1"/>
    </row>
    <row r="385" spans="2:9" x14ac:dyDescent="0.25">
      <c r="B385" s="10"/>
      <c r="E385" s="11"/>
      <c r="F385" s="11"/>
      <c r="G385" s="12"/>
      <c r="H385" s="1"/>
      <c r="I385" s="1"/>
    </row>
    <row r="386" spans="2:9" x14ac:dyDescent="0.25">
      <c r="B386" s="10"/>
      <c r="E386" s="11"/>
      <c r="F386" s="11"/>
      <c r="G386" s="12"/>
      <c r="H386" s="1"/>
      <c r="I386" s="1"/>
    </row>
    <row r="387" spans="2:9" x14ac:dyDescent="0.25">
      <c r="B387" s="10"/>
      <c r="E387" s="11"/>
      <c r="F387" s="11"/>
      <c r="G387" s="12"/>
      <c r="H387" s="1"/>
      <c r="I387" s="1"/>
    </row>
    <row r="388" spans="2:9" x14ac:dyDescent="0.25">
      <c r="B388" s="10"/>
      <c r="E388" s="11"/>
      <c r="F388" s="11"/>
      <c r="G388" s="12"/>
      <c r="H388" s="1"/>
      <c r="I388" s="1"/>
    </row>
    <row r="389" spans="2:9" x14ac:dyDescent="0.25">
      <c r="B389" s="10"/>
      <c r="E389" s="11"/>
      <c r="F389" s="11"/>
      <c r="G389" s="12"/>
      <c r="H389" s="1"/>
      <c r="I389" s="1"/>
    </row>
    <row r="390" spans="2:9" x14ac:dyDescent="0.25">
      <c r="B390" s="10"/>
      <c r="E390" s="11"/>
      <c r="F390" s="11"/>
      <c r="G390" s="12"/>
      <c r="H390" s="1"/>
      <c r="I390" s="1"/>
    </row>
    <row r="391" spans="2:9" x14ac:dyDescent="0.25">
      <c r="B391" s="10"/>
      <c r="E391" s="11"/>
      <c r="F391" s="11"/>
      <c r="G391" s="12"/>
      <c r="H391" s="1"/>
      <c r="I391" s="1"/>
    </row>
    <row r="392" spans="2:9" x14ac:dyDescent="0.25">
      <c r="B392" s="10"/>
      <c r="E392" s="11"/>
      <c r="F392" s="11"/>
      <c r="G392" s="12"/>
      <c r="H392" s="1"/>
      <c r="I392" s="1"/>
    </row>
    <row r="393" spans="2:9" x14ac:dyDescent="0.25">
      <c r="B393" s="10"/>
      <c r="E393" s="11"/>
      <c r="F393" s="11"/>
      <c r="G393" s="12"/>
      <c r="H393" s="1"/>
      <c r="I393" s="1"/>
    </row>
    <row r="394" spans="2:9" x14ac:dyDescent="0.25">
      <c r="B394" s="10"/>
      <c r="E394" s="11"/>
      <c r="F394" s="11"/>
      <c r="G394" s="12"/>
      <c r="H394" s="1"/>
      <c r="I394" s="1"/>
    </row>
    <row r="395" spans="2:9" x14ac:dyDescent="0.25">
      <c r="B395" s="10"/>
      <c r="E395" s="11"/>
      <c r="F395" s="11"/>
      <c r="G395" s="12"/>
      <c r="H395" s="1"/>
      <c r="I395" s="1"/>
    </row>
    <row r="396" spans="2:9" x14ac:dyDescent="0.25">
      <c r="B396" s="10"/>
      <c r="E396" s="11"/>
      <c r="F396" s="11"/>
      <c r="G396" s="12"/>
      <c r="H396" s="1"/>
      <c r="I396" s="1"/>
    </row>
    <row r="397" spans="2:9" x14ac:dyDescent="0.25">
      <c r="B397" s="10"/>
      <c r="E397" s="11"/>
      <c r="F397" s="11"/>
      <c r="G397" s="12"/>
      <c r="H397" s="1"/>
      <c r="I397" s="1"/>
    </row>
    <row r="398" spans="2:9" x14ac:dyDescent="0.25">
      <c r="B398" s="10"/>
      <c r="E398" s="11"/>
      <c r="F398" s="11"/>
      <c r="G398" s="12"/>
      <c r="H398" s="1"/>
      <c r="I398" s="1"/>
    </row>
    <row r="399" spans="2:9" x14ac:dyDescent="0.25">
      <c r="B399" s="10"/>
      <c r="E399" s="11"/>
      <c r="F399" s="11"/>
      <c r="G399" s="12"/>
      <c r="H399" s="1"/>
      <c r="I399" s="1"/>
    </row>
    <row r="400" spans="2:9" x14ac:dyDescent="0.25">
      <c r="B400" s="10"/>
      <c r="E400" s="11"/>
      <c r="F400" s="11"/>
      <c r="G400" s="12"/>
      <c r="H400" s="1"/>
      <c r="I400" s="1"/>
    </row>
    <row r="401" spans="2:9" x14ac:dyDescent="0.25">
      <c r="B401" s="10"/>
      <c r="E401" s="11"/>
      <c r="F401" s="11"/>
      <c r="G401" s="12"/>
      <c r="H401" s="1"/>
      <c r="I401" s="1"/>
    </row>
    <row r="402" spans="2:9" x14ac:dyDescent="0.25">
      <c r="B402" s="10"/>
      <c r="E402" s="11"/>
      <c r="F402" s="11"/>
      <c r="G402" s="12"/>
      <c r="H402" s="1"/>
      <c r="I402" s="1"/>
    </row>
    <row r="403" spans="2:9" x14ac:dyDescent="0.25">
      <c r="B403" s="10"/>
      <c r="E403" s="11"/>
      <c r="F403" s="11"/>
      <c r="G403" s="12"/>
      <c r="H403" s="1"/>
      <c r="I403" s="1"/>
    </row>
    <row r="404" spans="2:9" x14ac:dyDescent="0.25">
      <c r="B404" s="10"/>
      <c r="E404" s="11"/>
      <c r="F404" s="11"/>
      <c r="G404" s="12"/>
      <c r="H404" s="1"/>
      <c r="I404" s="1"/>
    </row>
    <row r="405" spans="2:9" x14ac:dyDescent="0.25">
      <c r="B405" s="10"/>
      <c r="E405" s="11"/>
      <c r="F405" s="11"/>
      <c r="G405" s="12"/>
      <c r="H405" s="1"/>
      <c r="I405" s="1"/>
    </row>
    <row r="406" spans="2:9" x14ac:dyDescent="0.25">
      <c r="B406" s="10"/>
      <c r="E406" s="11"/>
      <c r="F406" s="11"/>
      <c r="G406" s="12"/>
      <c r="H406" s="1"/>
      <c r="I406" s="1"/>
    </row>
    <row r="407" spans="2:9" x14ac:dyDescent="0.25">
      <c r="B407" s="10"/>
      <c r="E407" s="11"/>
      <c r="F407" s="11"/>
      <c r="G407" s="12"/>
      <c r="H407" s="1"/>
      <c r="I407" s="1"/>
    </row>
    <row r="408" spans="2:9" x14ac:dyDescent="0.25">
      <c r="B408" s="10"/>
      <c r="E408" s="11"/>
      <c r="F408" s="11"/>
      <c r="G408" s="12"/>
      <c r="H408" s="1"/>
      <c r="I408" s="1"/>
    </row>
    <row r="409" spans="2:9" x14ac:dyDescent="0.25">
      <c r="B409" s="10"/>
      <c r="E409" s="11"/>
      <c r="F409" s="11"/>
      <c r="G409" s="12"/>
      <c r="H409" s="1"/>
      <c r="I409" s="1"/>
    </row>
    <row r="410" spans="2:9" x14ac:dyDescent="0.25">
      <c r="B410" s="10"/>
      <c r="E410" s="11"/>
      <c r="F410" s="11"/>
      <c r="G410" s="12"/>
      <c r="H410" s="1"/>
      <c r="I410" s="1"/>
    </row>
    <row r="411" spans="2:9" x14ac:dyDescent="0.25">
      <c r="B411" s="10"/>
      <c r="E411" s="11"/>
      <c r="F411" s="11"/>
      <c r="G411" s="12"/>
      <c r="H411" s="1"/>
      <c r="I411" s="1"/>
    </row>
    <row r="412" spans="2:9" x14ac:dyDescent="0.25">
      <c r="B412" s="10"/>
      <c r="E412" s="11"/>
      <c r="F412" s="11"/>
      <c r="G412" s="12"/>
      <c r="H412" s="1"/>
      <c r="I412" s="1"/>
    </row>
    <row r="413" spans="2:9" x14ac:dyDescent="0.25">
      <c r="B413" s="10"/>
      <c r="E413" s="11"/>
      <c r="F413" s="11"/>
      <c r="G413" s="12"/>
      <c r="H413" s="1"/>
      <c r="I413" s="1"/>
    </row>
    <row r="414" spans="2:9" x14ac:dyDescent="0.25">
      <c r="B414" s="10"/>
      <c r="E414" s="11"/>
      <c r="F414" s="11"/>
      <c r="G414" s="12"/>
      <c r="H414" s="1"/>
      <c r="I414" s="1"/>
    </row>
    <row r="415" spans="2:9" x14ac:dyDescent="0.25">
      <c r="B415" s="10"/>
      <c r="E415" s="11"/>
      <c r="F415" s="11"/>
      <c r="G415" s="12"/>
      <c r="H415" s="1"/>
      <c r="I415" s="1"/>
    </row>
    <row r="416" spans="2:9" x14ac:dyDescent="0.25">
      <c r="B416" s="10"/>
      <c r="E416" s="11"/>
      <c r="F416" s="11"/>
      <c r="G416" s="12"/>
      <c r="H416" s="1"/>
      <c r="I416" s="1"/>
    </row>
    <row r="417" spans="2:9" x14ac:dyDescent="0.25">
      <c r="B417" s="10"/>
      <c r="E417" s="11"/>
      <c r="F417" s="11"/>
      <c r="G417" s="12"/>
      <c r="H417" s="1"/>
      <c r="I417" s="1"/>
    </row>
    <row r="418" spans="2:9" x14ac:dyDescent="0.25">
      <c r="B418" s="10"/>
      <c r="E418" s="11"/>
      <c r="F418" s="11"/>
      <c r="G418" s="12"/>
      <c r="H418" s="1"/>
      <c r="I418" s="1"/>
    </row>
    <row r="419" spans="2:9" x14ac:dyDescent="0.25">
      <c r="B419" s="10"/>
      <c r="E419" s="11"/>
      <c r="F419" s="11"/>
      <c r="G419" s="12"/>
      <c r="H419" s="1"/>
      <c r="I419" s="1"/>
    </row>
    <row r="420" spans="2:9" x14ac:dyDescent="0.25">
      <c r="B420" s="10"/>
      <c r="E420" s="11"/>
      <c r="F420" s="11"/>
      <c r="G420" s="12"/>
      <c r="H420" s="1"/>
      <c r="I420" s="1"/>
    </row>
    <row r="421" spans="2:9" x14ac:dyDescent="0.25">
      <c r="B421" s="10"/>
      <c r="E421" s="11"/>
      <c r="F421" s="11"/>
      <c r="G421" s="12"/>
      <c r="H421" s="1"/>
      <c r="I421" s="1"/>
    </row>
    <row r="422" spans="2:9" x14ac:dyDescent="0.25">
      <c r="B422" s="10"/>
      <c r="E422" s="11"/>
      <c r="F422" s="11"/>
      <c r="G422" s="12"/>
      <c r="H422" s="1"/>
      <c r="I422" s="1"/>
    </row>
    <row r="423" spans="2:9" x14ac:dyDescent="0.25">
      <c r="B423" s="10"/>
      <c r="E423" s="11"/>
      <c r="F423" s="11"/>
      <c r="G423" s="12"/>
      <c r="H423" s="1"/>
      <c r="I423" s="1"/>
    </row>
    <row r="424" spans="2:9" x14ac:dyDescent="0.25">
      <c r="B424" s="10"/>
      <c r="E424" s="11"/>
      <c r="F424" s="11"/>
      <c r="G424" s="12"/>
      <c r="H424" s="1"/>
      <c r="I424" s="1"/>
    </row>
    <row r="425" spans="2:9" x14ac:dyDescent="0.25">
      <c r="B425" s="10"/>
      <c r="E425" s="11"/>
      <c r="F425" s="11"/>
      <c r="G425" s="12"/>
      <c r="H425" s="1"/>
      <c r="I425" s="1"/>
    </row>
    <row r="426" spans="2:9" x14ac:dyDescent="0.25">
      <c r="B426" s="10"/>
      <c r="E426" s="11"/>
      <c r="F426" s="11"/>
      <c r="G426" s="12"/>
      <c r="H426" s="1"/>
      <c r="I426" s="1"/>
    </row>
    <row r="427" spans="2:9" x14ac:dyDescent="0.25">
      <c r="B427" s="10"/>
      <c r="E427" s="11"/>
      <c r="F427" s="11"/>
      <c r="G427" s="12"/>
      <c r="H427" s="1"/>
      <c r="I427" s="1"/>
    </row>
    <row r="428" spans="2:9" x14ac:dyDescent="0.25">
      <c r="B428" s="10"/>
      <c r="E428" s="11"/>
      <c r="F428" s="11"/>
      <c r="G428" s="12"/>
      <c r="H428" s="1"/>
      <c r="I428" s="1"/>
    </row>
    <row r="429" spans="2:9" x14ac:dyDescent="0.25">
      <c r="B429" s="10"/>
      <c r="E429" s="11"/>
      <c r="F429" s="11"/>
      <c r="G429" s="12"/>
      <c r="H429" s="1"/>
      <c r="I429" s="1"/>
    </row>
    <row r="430" spans="2:9" x14ac:dyDescent="0.25">
      <c r="B430" s="10"/>
      <c r="E430" s="11"/>
      <c r="F430" s="11"/>
      <c r="G430" s="12"/>
      <c r="H430" s="1"/>
      <c r="I430" s="1"/>
    </row>
    <row r="431" spans="2:9" x14ac:dyDescent="0.25">
      <c r="B431" s="10"/>
      <c r="E431" s="11"/>
      <c r="F431" s="11"/>
      <c r="G431" s="12"/>
      <c r="H431" s="1"/>
      <c r="I431" s="1"/>
    </row>
    <row r="432" spans="2:9" x14ac:dyDescent="0.25">
      <c r="B432" s="10"/>
      <c r="E432" s="11"/>
      <c r="F432" s="11"/>
      <c r="G432" s="12"/>
      <c r="H432" s="1"/>
      <c r="I432" s="1"/>
    </row>
    <row r="433" spans="2:9" x14ac:dyDescent="0.25">
      <c r="B433" s="10"/>
      <c r="E433" s="11"/>
      <c r="F433" s="11"/>
      <c r="G433" s="12"/>
      <c r="H433" s="1"/>
      <c r="I433" s="1"/>
    </row>
    <row r="434" spans="2:9" x14ac:dyDescent="0.25">
      <c r="B434" s="10"/>
      <c r="E434" s="11"/>
      <c r="F434" s="11"/>
      <c r="G434" s="12"/>
      <c r="H434" s="1"/>
      <c r="I434" s="1"/>
    </row>
    <row r="435" spans="2:9" x14ac:dyDescent="0.25">
      <c r="B435" s="10"/>
      <c r="E435" s="11"/>
      <c r="F435" s="11"/>
      <c r="G435" s="12"/>
      <c r="H435" s="1"/>
      <c r="I435" s="1"/>
    </row>
    <row r="436" spans="2:9" x14ac:dyDescent="0.25">
      <c r="B436" s="10"/>
      <c r="E436" s="11"/>
      <c r="F436" s="11"/>
      <c r="G436" s="12"/>
      <c r="H436" s="1"/>
      <c r="I436" s="1"/>
    </row>
    <row r="437" spans="2:9" x14ac:dyDescent="0.25">
      <c r="B437" s="10"/>
      <c r="E437" s="11"/>
      <c r="F437" s="11"/>
      <c r="G437" s="12"/>
      <c r="H437" s="1"/>
      <c r="I437" s="1"/>
    </row>
    <row r="438" spans="2:9" x14ac:dyDescent="0.25">
      <c r="B438" s="10"/>
      <c r="E438" s="11"/>
      <c r="F438" s="11"/>
      <c r="G438" s="12"/>
      <c r="H438" s="1"/>
      <c r="I438" s="1"/>
    </row>
    <row r="439" spans="2:9" x14ac:dyDescent="0.25">
      <c r="B439" s="10"/>
      <c r="E439" s="11"/>
      <c r="F439" s="11"/>
      <c r="G439" s="12"/>
      <c r="H439" s="1"/>
      <c r="I439" s="1"/>
    </row>
    <row r="440" spans="2:9" x14ac:dyDescent="0.25">
      <c r="B440" s="10"/>
      <c r="E440" s="11"/>
      <c r="F440" s="11"/>
      <c r="G440" s="12"/>
      <c r="H440" s="1"/>
      <c r="I440" s="1"/>
    </row>
    <row r="441" spans="2:9" x14ac:dyDescent="0.25">
      <c r="B441" s="10"/>
      <c r="E441" s="11"/>
      <c r="F441" s="11"/>
      <c r="G441" s="12"/>
      <c r="H441" s="1"/>
      <c r="I441" s="1"/>
    </row>
    <row r="442" spans="2:9" x14ac:dyDescent="0.25">
      <c r="B442" s="10"/>
      <c r="E442" s="11"/>
      <c r="F442" s="11"/>
      <c r="G442" s="12"/>
      <c r="H442" s="1"/>
      <c r="I442" s="1"/>
    </row>
    <row r="443" spans="2:9" x14ac:dyDescent="0.25">
      <c r="B443" s="10"/>
      <c r="E443" s="11"/>
      <c r="F443" s="11"/>
      <c r="G443" s="12"/>
      <c r="H443" s="1"/>
      <c r="I443" s="1"/>
    </row>
    <row r="444" spans="2:9" x14ac:dyDescent="0.25">
      <c r="B444" s="10"/>
      <c r="E444" s="11"/>
      <c r="F444" s="11"/>
      <c r="G444" s="12"/>
      <c r="H444" s="1"/>
      <c r="I444" s="1"/>
    </row>
    <row r="445" spans="2:9" x14ac:dyDescent="0.25">
      <c r="B445" s="10"/>
      <c r="E445" s="11"/>
      <c r="F445" s="11"/>
      <c r="G445" s="12"/>
      <c r="H445" s="1"/>
      <c r="I445" s="1"/>
    </row>
    <row r="446" spans="2:9" x14ac:dyDescent="0.25">
      <c r="B446" s="10"/>
      <c r="E446" s="11"/>
      <c r="F446" s="11"/>
      <c r="G446" s="12"/>
      <c r="H446" s="1"/>
      <c r="I446" s="1"/>
    </row>
    <row r="447" spans="2:9" x14ac:dyDescent="0.25">
      <c r="B447" s="10"/>
      <c r="E447" s="11"/>
      <c r="F447" s="11"/>
      <c r="G447" s="12"/>
      <c r="H447" s="1"/>
      <c r="I447" s="1"/>
    </row>
    <row r="448" spans="2:9" x14ac:dyDescent="0.25">
      <c r="B448" s="10"/>
      <c r="E448" s="11"/>
      <c r="F448" s="11"/>
      <c r="G448" s="12"/>
      <c r="H448" s="1"/>
      <c r="I448" s="1"/>
    </row>
    <row r="449" spans="2:9" x14ac:dyDescent="0.25">
      <c r="B449" s="10"/>
      <c r="E449" s="11"/>
      <c r="F449" s="11"/>
      <c r="G449" s="12"/>
      <c r="H449" s="1"/>
      <c r="I449" s="1"/>
    </row>
    <row r="450" spans="2:9" x14ac:dyDescent="0.25">
      <c r="B450" s="10"/>
      <c r="E450" s="11"/>
      <c r="F450" s="11"/>
      <c r="G450" s="12"/>
      <c r="H450" s="1"/>
      <c r="I450" s="1"/>
    </row>
    <row r="451" spans="2:9" x14ac:dyDescent="0.25">
      <c r="B451" s="10"/>
      <c r="E451" s="11"/>
      <c r="F451" s="11"/>
      <c r="G451" s="12"/>
      <c r="H451" s="1"/>
      <c r="I451" s="1"/>
    </row>
    <row r="452" spans="2:9" x14ac:dyDescent="0.25">
      <c r="B452" s="10"/>
      <c r="E452" s="11"/>
      <c r="F452" s="11"/>
      <c r="G452" s="12"/>
      <c r="H452" s="1"/>
      <c r="I452" s="1"/>
    </row>
    <row r="453" spans="2:9" x14ac:dyDescent="0.25">
      <c r="B453" s="10"/>
      <c r="E453" s="11"/>
      <c r="F453" s="11"/>
      <c r="G453" s="12"/>
      <c r="H453" s="1"/>
      <c r="I453" s="1"/>
    </row>
    <row r="454" spans="2:9" x14ac:dyDescent="0.25">
      <c r="B454" s="10"/>
      <c r="E454" s="11"/>
      <c r="F454" s="11"/>
      <c r="G454" s="12"/>
      <c r="H454" s="1"/>
      <c r="I454" s="1"/>
    </row>
    <row r="455" spans="2:9" x14ac:dyDescent="0.25">
      <c r="B455" s="10"/>
      <c r="E455" s="11"/>
      <c r="F455" s="11"/>
      <c r="G455" s="12"/>
      <c r="H455" s="1"/>
      <c r="I455" s="1"/>
    </row>
    <row r="456" spans="2:9" x14ac:dyDescent="0.25">
      <c r="B456" s="10"/>
      <c r="E456" s="11"/>
      <c r="F456" s="11"/>
      <c r="G456" s="12"/>
      <c r="H456" s="1"/>
      <c r="I456" s="1"/>
    </row>
    <row r="457" spans="2:9" x14ac:dyDescent="0.25">
      <c r="B457" s="10"/>
      <c r="E457" s="11"/>
      <c r="F457" s="11"/>
      <c r="G457" s="12"/>
      <c r="H457" s="1"/>
      <c r="I457" s="1"/>
    </row>
    <row r="458" spans="2:9" x14ac:dyDescent="0.25">
      <c r="B458" s="10"/>
      <c r="E458" s="11"/>
      <c r="F458" s="11"/>
      <c r="G458" s="12"/>
      <c r="H458" s="1"/>
      <c r="I458" s="1"/>
    </row>
    <row r="459" spans="2:9" x14ac:dyDescent="0.25">
      <c r="B459" s="10"/>
      <c r="E459" s="11"/>
      <c r="F459" s="11"/>
      <c r="G459" s="12"/>
      <c r="H459" s="1"/>
      <c r="I459" s="1"/>
    </row>
    <row r="460" spans="2:9" x14ac:dyDescent="0.25">
      <c r="B460" s="10"/>
      <c r="E460" s="11"/>
      <c r="F460" s="11"/>
      <c r="G460" s="12"/>
      <c r="H460" s="1"/>
      <c r="I460" s="1"/>
    </row>
    <row r="461" spans="2:9" x14ac:dyDescent="0.25">
      <c r="B461" s="10"/>
      <c r="E461" s="11"/>
      <c r="F461" s="11"/>
      <c r="G461" s="12"/>
      <c r="H461" s="1"/>
      <c r="I461" s="1"/>
    </row>
    <row r="462" spans="2:9" x14ac:dyDescent="0.25">
      <c r="B462" s="10"/>
      <c r="E462" s="11"/>
      <c r="F462" s="11"/>
      <c r="G462" s="12"/>
      <c r="H462" s="1"/>
      <c r="I462" s="1"/>
    </row>
    <row r="463" spans="2:9" x14ac:dyDescent="0.25">
      <c r="B463" s="10"/>
      <c r="E463" s="11"/>
      <c r="F463" s="11"/>
      <c r="G463" s="12"/>
      <c r="H463" s="1"/>
      <c r="I463" s="1"/>
    </row>
    <row r="464" spans="2:9" x14ac:dyDescent="0.25">
      <c r="B464" s="10"/>
      <c r="E464" s="11"/>
      <c r="F464" s="11"/>
      <c r="G464" s="12"/>
      <c r="H464" s="1"/>
      <c r="I464" s="1"/>
    </row>
    <row r="465" spans="2:9" x14ac:dyDescent="0.25">
      <c r="B465" s="10"/>
      <c r="E465" s="11"/>
      <c r="F465" s="11"/>
      <c r="G465" s="12"/>
      <c r="H465" s="1"/>
      <c r="I465" s="1"/>
    </row>
    <row r="466" spans="2:9" x14ac:dyDescent="0.25">
      <c r="B466" s="10"/>
      <c r="E466" s="11"/>
      <c r="F466" s="11"/>
      <c r="G466" s="12"/>
      <c r="H466" s="1"/>
      <c r="I466" s="1"/>
    </row>
    <row r="467" spans="2:9" x14ac:dyDescent="0.25">
      <c r="B467" s="10"/>
      <c r="E467" s="11"/>
      <c r="F467" s="11"/>
      <c r="G467" s="12"/>
      <c r="H467" s="1"/>
      <c r="I467" s="1"/>
    </row>
    <row r="468" spans="2:9" x14ac:dyDescent="0.25">
      <c r="B468" s="10"/>
      <c r="E468" s="11"/>
      <c r="F468" s="11"/>
      <c r="G468" s="12"/>
      <c r="H468" s="1"/>
      <c r="I468" s="1"/>
    </row>
    <row r="469" spans="2:9" x14ac:dyDescent="0.25">
      <c r="B469" s="10"/>
      <c r="E469" s="11"/>
      <c r="F469" s="11"/>
      <c r="G469" s="12"/>
      <c r="H469" s="1"/>
      <c r="I469" s="1"/>
    </row>
    <row r="470" spans="2:9" x14ac:dyDescent="0.25">
      <c r="B470" s="10"/>
      <c r="E470" s="11"/>
      <c r="F470" s="11"/>
      <c r="G470" s="12"/>
      <c r="H470" s="1"/>
      <c r="I470" s="1"/>
    </row>
    <row r="471" spans="2:9" x14ac:dyDescent="0.25">
      <c r="B471" s="10"/>
      <c r="E471" s="11"/>
      <c r="F471" s="11"/>
      <c r="G471" s="12"/>
      <c r="H471" s="1"/>
      <c r="I471" s="1"/>
    </row>
    <row r="472" spans="2:9" x14ac:dyDescent="0.25">
      <c r="B472" s="10"/>
      <c r="E472" s="11"/>
      <c r="F472" s="11"/>
      <c r="G472" s="12"/>
      <c r="H472" s="1"/>
      <c r="I472" s="1"/>
    </row>
    <row r="473" spans="2:9" x14ac:dyDescent="0.25">
      <c r="B473" s="10"/>
      <c r="E473" s="11"/>
      <c r="F473" s="11"/>
      <c r="G473" s="12"/>
      <c r="H473" s="1"/>
      <c r="I473" s="1"/>
    </row>
    <row r="474" spans="2:9" x14ac:dyDescent="0.25">
      <c r="B474" s="10"/>
      <c r="E474" s="11"/>
      <c r="F474" s="11"/>
      <c r="G474" s="12"/>
      <c r="H474" s="1"/>
      <c r="I474" s="1"/>
    </row>
    <row r="475" spans="2:9" x14ac:dyDescent="0.25">
      <c r="B475" s="10"/>
      <c r="E475" s="11"/>
      <c r="F475" s="11"/>
      <c r="G475" s="12"/>
      <c r="H475" s="1"/>
      <c r="I475" s="1"/>
    </row>
    <row r="476" spans="2:9" x14ac:dyDescent="0.25">
      <c r="B476" s="10"/>
      <c r="E476" s="11"/>
      <c r="F476" s="11"/>
      <c r="G476" s="12"/>
      <c r="H476" s="1"/>
      <c r="I476" s="1"/>
    </row>
    <row r="477" spans="2:9" x14ac:dyDescent="0.25">
      <c r="B477" s="10"/>
      <c r="E477" s="11"/>
      <c r="F477" s="11"/>
      <c r="G477" s="12"/>
      <c r="H477" s="1"/>
      <c r="I477" s="1"/>
    </row>
    <row r="478" spans="2:9" x14ac:dyDescent="0.25">
      <c r="B478" s="10"/>
      <c r="E478" s="11"/>
      <c r="F478" s="11"/>
      <c r="G478" s="12"/>
      <c r="H478" s="1"/>
      <c r="I478" s="1"/>
    </row>
    <row r="479" spans="2:9" x14ac:dyDescent="0.25">
      <c r="B479" s="10"/>
      <c r="E479" s="11"/>
      <c r="F479" s="11"/>
      <c r="G479" s="12"/>
      <c r="H479" s="1"/>
      <c r="I479" s="1"/>
    </row>
    <row r="480" spans="2:9" x14ac:dyDescent="0.25">
      <c r="B480" s="10"/>
      <c r="E480" s="11"/>
      <c r="F480" s="11"/>
      <c r="G480" s="12"/>
      <c r="H480" s="1"/>
      <c r="I480" s="1"/>
    </row>
    <row r="481" spans="2:9" x14ac:dyDescent="0.25">
      <c r="B481" s="10"/>
      <c r="E481" s="11"/>
      <c r="F481" s="11"/>
      <c r="G481" s="12"/>
      <c r="H481" s="1"/>
      <c r="I481" s="1"/>
    </row>
    <row r="482" spans="2:9" x14ac:dyDescent="0.25">
      <c r="B482" s="10"/>
      <c r="E482" s="11"/>
      <c r="F482" s="11"/>
      <c r="G482" s="12"/>
      <c r="H482" s="1"/>
      <c r="I482" s="1"/>
    </row>
    <row r="483" spans="2:9" x14ac:dyDescent="0.25">
      <c r="B483" s="10"/>
      <c r="E483" s="11"/>
      <c r="F483" s="11"/>
      <c r="G483" s="12"/>
      <c r="H483" s="1"/>
      <c r="I483" s="1"/>
    </row>
    <row r="484" spans="2:9" x14ac:dyDescent="0.25">
      <c r="B484" s="10"/>
      <c r="E484" s="11"/>
      <c r="F484" s="11"/>
      <c r="G484" s="12"/>
      <c r="H484" s="1"/>
      <c r="I484" s="1"/>
    </row>
    <row r="485" spans="2:9" x14ac:dyDescent="0.25">
      <c r="B485" s="10"/>
      <c r="E485" s="11"/>
      <c r="F485" s="11"/>
      <c r="G485" s="12"/>
      <c r="H485" s="1"/>
      <c r="I485" s="1"/>
    </row>
    <row r="486" spans="2:9" x14ac:dyDescent="0.25">
      <c r="B486" s="10"/>
      <c r="E486" s="11"/>
      <c r="F486" s="11"/>
      <c r="G486" s="12"/>
      <c r="H486" s="1"/>
      <c r="I486" s="1"/>
    </row>
    <row r="487" spans="2:9" x14ac:dyDescent="0.25">
      <c r="B487" s="10"/>
      <c r="E487" s="11"/>
      <c r="F487" s="11"/>
      <c r="G487" s="12"/>
      <c r="H487" s="1"/>
      <c r="I487" s="1"/>
    </row>
    <row r="488" spans="2:9" x14ac:dyDescent="0.25">
      <c r="B488" s="10"/>
      <c r="E488" s="11"/>
      <c r="F488" s="11"/>
      <c r="G488" s="12"/>
      <c r="H488" s="1"/>
      <c r="I488" s="1"/>
    </row>
    <row r="489" spans="2:9" x14ac:dyDescent="0.25">
      <c r="B489" s="10"/>
      <c r="E489" s="11"/>
      <c r="F489" s="11"/>
      <c r="G489" s="12"/>
      <c r="H489" s="1"/>
      <c r="I489" s="1"/>
    </row>
    <row r="490" spans="2:9" x14ac:dyDescent="0.25">
      <c r="B490" s="10"/>
      <c r="E490" s="11"/>
      <c r="F490" s="11"/>
      <c r="G490" s="12"/>
      <c r="H490" s="1"/>
      <c r="I490" s="1"/>
    </row>
    <row r="491" spans="2:9" x14ac:dyDescent="0.25">
      <c r="B491" s="10"/>
      <c r="E491" s="11"/>
      <c r="F491" s="11"/>
      <c r="G491" s="12"/>
      <c r="H491" s="1"/>
      <c r="I491" s="1"/>
    </row>
    <row r="492" spans="2:9" x14ac:dyDescent="0.25">
      <c r="B492" s="10"/>
      <c r="E492" s="11"/>
      <c r="F492" s="11"/>
      <c r="G492" s="12"/>
      <c r="H492" s="1"/>
      <c r="I492" s="1"/>
    </row>
    <row r="493" spans="2:9" x14ac:dyDescent="0.25">
      <c r="B493" s="10"/>
      <c r="E493" s="11"/>
      <c r="F493" s="11"/>
      <c r="G493" s="12"/>
      <c r="H493" s="1"/>
      <c r="I493" s="1"/>
    </row>
    <row r="494" spans="2:9" x14ac:dyDescent="0.25">
      <c r="B494" s="10"/>
      <c r="E494" s="11"/>
      <c r="F494" s="11"/>
      <c r="G494" s="12"/>
      <c r="H494" s="1"/>
      <c r="I494" s="1"/>
    </row>
    <row r="495" spans="2:9" x14ac:dyDescent="0.25">
      <c r="B495" s="10"/>
      <c r="E495" s="11"/>
      <c r="F495" s="11"/>
      <c r="G495" s="12"/>
      <c r="H495" s="1"/>
      <c r="I495" s="1"/>
    </row>
    <row r="496" spans="2:9" x14ac:dyDescent="0.25">
      <c r="B496" s="10"/>
      <c r="E496" s="11"/>
      <c r="F496" s="11"/>
      <c r="G496" s="12"/>
      <c r="H496" s="1"/>
      <c r="I496" s="1"/>
    </row>
    <row r="497" spans="2:9" x14ac:dyDescent="0.25">
      <c r="B497" s="10"/>
      <c r="E497" s="11"/>
      <c r="F497" s="11"/>
      <c r="G497" s="12"/>
      <c r="H497" s="1"/>
      <c r="I497" s="1"/>
    </row>
    <row r="498" spans="2:9" x14ac:dyDescent="0.25">
      <c r="B498" s="10"/>
      <c r="E498" s="11"/>
      <c r="F498" s="11"/>
      <c r="G498" s="12"/>
      <c r="H498" s="1"/>
      <c r="I498" s="1"/>
    </row>
    <row r="499" spans="2:9" x14ac:dyDescent="0.25">
      <c r="B499" s="10"/>
      <c r="E499" s="11"/>
      <c r="F499" s="11"/>
      <c r="G499" s="12"/>
      <c r="H499" s="1"/>
      <c r="I499" s="1"/>
    </row>
    <row r="500" spans="2:9" x14ac:dyDescent="0.25">
      <c r="B500" s="10"/>
      <c r="E500" s="11"/>
      <c r="F500" s="11"/>
      <c r="G500" s="12"/>
      <c r="H500" s="1"/>
      <c r="I500" s="1"/>
    </row>
    <row r="501" spans="2:9" x14ac:dyDescent="0.25">
      <c r="B501" s="10"/>
      <c r="E501" s="11"/>
      <c r="F501" s="11"/>
      <c r="G501" s="12"/>
      <c r="H501" s="1"/>
      <c r="I501" s="1"/>
    </row>
    <row r="502" spans="2:9" x14ac:dyDescent="0.25">
      <c r="B502" s="10"/>
      <c r="E502" s="11"/>
      <c r="F502" s="11"/>
      <c r="G502" s="12"/>
      <c r="H502" s="1"/>
      <c r="I502" s="1"/>
    </row>
    <row r="503" spans="2:9" x14ac:dyDescent="0.25">
      <c r="B503" s="10"/>
      <c r="E503" s="11"/>
      <c r="F503" s="11"/>
      <c r="G503" s="12"/>
      <c r="H503" s="1"/>
      <c r="I503" s="1"/>
    </row>
    <row r="504" spans="2:9" x14ac:dyDescent="0.25">
      <c r="B504" s="10"/>
      <c r="E504" s="11"/>
      <c r="F504" s="11"/>
      <c r="G504" s="12"/>
      <c r="H504" s="1"/>
      <c r="I504" s="1"/>
    </row>
    <row r="505" spans="2:9" x14ac:dyDescent="0.25">
      <c r="B505" s="10"/>
      <c r="E505" s="11"/>
      <c r="F505" s="11"/>
      <c r="G505" s="12"/>
      <c r="H505" s="1"/>
      <c r="I505" s="1"/>
    </row>
    <row r="506" spans="2:9" x14ac:dyDescent="0.25">
      <c r="B506" s="10"/>
      <c r="E506" s="11"/>
      <c r="F506" s="11"/>
      <c r="G506" s="12"/>
      <c r="H506" s="1"/>
      <c r="I506" s="1"/>
    </row>
    <row r="507" spans="2:9" x14ac:dyDescent="0.25">
      <c r="B507" s="10"/>
      <c r="E507" s="11"/>
      <c r="F507" s="11"/>
      <c r="G507" s="12"/>
      <c r="H507" s="1"/>
      <c r="I507" s="1"/>
    </row>
    <row r="508" spans="2:9" x14ac:dyDescent="0.25">
      <c r="B508" s="10"/>
      <c r="E508" s="11"/>
      <c r="F508" s="11"/>
      <c r="G508" s="12"/>
      <c r="H508" s="1"/>
      <c r="I508" s="1"/>
    </row>
    <row r="509" spans="2:9" x14ac:dyDescent="0.25">
      <c r="B509" s="10"/>
      <c r="E509" s="11"/>
      <c r="F509" s="11"/>
      <c r="G509" s="12"/>
      <c r="H509" s="1"/>
      <c r="I509" s="1"/>
    </row>
    <row r="510" spans="2:9" x14ac:dyDescent="0.25">
      <c r="B510" s="10"/>
      <c r="E510" s="11"/>
      <c r="F510" s="11"/>
      <c r="G510" s="12"/>
      <c r="H510" s="1"/>
      <c r="I510" s="1"/>
    </row>
    <row r="511" spans="2:9" x14ac:dyDescent="0.25">
      <c r="B511" s="10"/>
      <c r="E511" s="11"/>
      <c r="F511" s="11"/>
      <c r="G511" s="12"/>
      <c r="H511" s="1"/>
      <c r="I511" s="1"/>
    </row>
    <row r="512" spans="2:9" x14ac:dyDescent="0.25">
      <c r="B512" s="10"/>
      <c r="E512" s="11"/>
      <c r="F512" s="11"/>
      <c r="G512" s="12"/>
      <c r="H512" s="1"/>
      <c r="I512" s="1"/>
    </row>
    <row r="513" spans="2:9" x14ac:dyDescent="0.25">
      <c r="B513" s="10"/>
      <c r="E513" s="11"/>
      <c r="F513" s="11"/>
      <c r="G513" s="12"/>
      <c r="H513" s="1"/>
      <c r="I513" s="1"/>
    </row>
    <row r="514" spans="2:9" x14ac:dyDescent="0.25">
      <c r="B514" s="10"/>
      <c r="E514" s="11"/>
      <c r="F514" s="11"/>
      <c r="G514" s="12"/>
      <c r="H514" s="1"/>
      <c r="I514" s="1"/>
    </row>
    <row r="515" spans="2:9" x14ac:dyDescent="0.25">
      <c r="B515" s="10"/>
      <c r="E515" s="11"/>
      <c r="F515" s="11"/>
      <c r="G515" s="12"/>
      <c r="H515" s="1"/>
      <c r="I515" s="1"/>
    </row>
    <row r="516" spans="2:9" x14ac:dyDescent="0.25">
      <c r="B516" s="10"/>
      <c r="E516" s="11"/>
      <c r="F516" s="11"/>
      <c r="G516" s="12"/>
      <c r="H516" s="1"/>
      <c r="I516" s="1"/>
    </row>
    <row r="517" spans="2:9" x14ac:dyDescent="0.25">
      <c r="B517" s="10"/>
      <c r="E517" s="11"/>
      <c r="F517" s="11"/>
      <c r="G517" s="12"/>
      <c r="H517" s="1"/>
      <c r="I517" s="1"/>
    </row>
    <row r="518" spans="2:9" x14ac:dyDescent="0.25">
      <c r="B518" s="10"/>
      <c r="E518" s="11"/>
      <c r="F518" s="11"/>
      <c r="G518" s="12"/>
      <c r="H518" s="1"/>
      <c r="I518" s="1"/>
    </row>
    <row r="519" spans="2:9" x14ac:dyDescent="0.25">
      <c r="B519" s="10"/>
      <c r="E519" s="11"/>
      <c r="F519" s="11"/>
      <c r="G519" s="12"/>
      <c r="H519" s="1"/>
      <c r="I519" s="1"/>
    </row>
    <row r="520" spans="2:9" x14ac:dyDescent="0.25">
      <c r="B520" s="10"/>
      <c r="E520" s="11"/>
      <c r="F520" s="11"/>
      <c r="G520" s="12"/>
      <c r="H520" s="1"/>
      <c r="I520" s="1"/>
    </row>
    <row r="521" spans="2:9" x14ac:dyDescent="0.25">
      <c r="B521" s="10"/>
      <c r="E521" s="11"/>
      <c r="F521" s="11"/>
      <c r="G521" s="12"/>
      <c r="H521" s="1"/>
      <c r="I521" s="1"/>
    </row>
    <row r="522" spans="2:9" x14ac:dyDescent="0.25">
      <c r="B522" s="10"/>
      <c r="E522" s="11"/>
      <c r="F522" s="11"/>
      <c r="G522" s="12"/>
      <c r="H522" s="1"/>
      <c r="I522" s="1"/>
    </row>
    <row r="523" spans="2:9" x14ac:dyDescent="0.25">
      <c r="B523" s="10"/>
      <c r="E523" s="11"/>
      <c r="F523" s="11"/>
      <c r="G523" s="12"/>
      <c r="H523" s="1"/>
      <c r="I523" s="1"/>
    </row>
    <row r="524" spans="2:9" x14ac:dyDescent="0.25">
      <c r="B524" s="10"/>
      <c r="E524" s="11"/>
      <c r="F524" s="11"/>
      <c r="G524" s="12"/>
      <c r="H524" s="1"/>
      <c r="I524" s="1"/>
    </row>
    <row r="525" spans="2:9" x14ac:dyDescent="0.25">
      <c r="B525" s="10"/>
      <c r="E525" s="11"/>
      <c r="F525" s="11"/>
      <c r="G525" s="12"/>
      <c r="H525" s="1"/>
      <c r="I525" s="1"/>
    </row>
    <row r="526" spans="2:9" x14ac:dyDescent="0.25">
      <c r="B526" s="10"/>
      <c r="E526" s="11"/>
      <c r="F526" s="11"/>
      <c r="G526" s="12"/>
      <c r="H526" s="1"/>
      <c r="I526" s="1"/>
    </row>
    <row r="527" spans="2:9" x14ac:dyDescent="0.25">
      <c r="B527" s="10"/>
      <c r="E527" s="11"/>
      <c r="F527" s="11"/>
      <c r="G527" s="12"/>
      <c r="H527" s="1"/>
      <c r="I527" s="1"/>
    </row>
    <row r="528" spans="2:9" x14ac:dyDescent="0.25">
      <c r="B528" s="10"/>
      <c r="E528" s="11"/>
      <c r="F528" s="11"/>
      <c r="G528" s="12"/>
      <c r="H528" s="1"/>
      <c r="I528" s="1"/>
    </row>
    <row r="529" spans="2:9" x14ac:dyDescent="0.25">
      <c r="B529" s="10"/>
      <c r="E529" s="11"/>
      <c r="F529" s="11"/>
      <c r="G529" s="12"/>
      <c r="H529" s="1"/>
      <c r="I529" s="1"/>
    </row>
    <row r="530" spans="2:9" x14ac:dyDescent="0.25">
      <c r="B530" s="10"/>
      <c r="E530" s="11"/>
      <c r="F530" s="11"/>
      <c r="G530" s="12"/>
      <c r="H530" s="1"/>
      <c r="I530" s="1"/>
    </row>
    <row r="531" spans="2:9" x14ac:dyDescent="0.25">
      <c r="B531" s="10"/>
      <c r="E531" s="11"/>
      <c r="F531" s="11"/>
      <c r="G531" s="12"/>
      <c r="H531" s="1"/>
      <c r="I531" s="1"/>
    </row>
    <row r="532" spans="2:9" x14ac:dyDescent="0.25">
      <c r="B532" s="10"/>
      <c r="E532" s="11"/>
      <c r="F532" s="11"/>
      <c r="G532" s="12"/>
      <c r="H532" s="1"/>
      <c r="I532" s="1"/>
    </row>
    <row r="533" spans="2:9" x14ac:dyDescent="0.25">
      <c r="B533" s="10"/>
      <c r="E533" s="11"/>
      <c r="F533" s="11"/>
      <c r="G533" s="12"/>
      <c r="H533" s="1"/>
      <c r="I533" s="1"/>
    </row>
    <row r="534" spans="2:9" x14ac:dyDescent="0.25">
      <c r="B534" s="10"/>
      <c r="E534" s="11"/>
      <c r="F534" s="11"/>
      <c r="G534" s="12"/>
      <c r="H534" s="1"/>
      <c r="I534" s="1"/>
    </row>
    <row r="535" spans="2:9" x14ac:dyDescent="0.25">
      <c r="B535" s="10"/>
      <c r="E535" s="11"/>
      <c r="F535" s="11"/>
      <c r="G535" s="12"/>
      <c r="H535" s="1"/>
      <c r="I535" s="1"/>
    </row>
    <row r="536" spans="2:9" x14ac:dyDescent="0.25">
      <c r="B536" s="10"/>
      <c r="E536" s="11"/>
      <c r="F536" s="11"/>
      <c r="G536" s="12"/>
      <c r="H536" s="1"/>
      <c r="I536" s="1"/>
    </row>
    <row r="537" spans="2:9" x14ac:dyDescent="0.25">
      <c r="B537" s="10"/>
      <c r="E537" s="11"/>
      <c r="F537" s="11"/>
      <c r="G537" s="12"/>
      <c r="H537" s="1"/>
      <c r="I537" s="1"/>
    </row>
    <row r="538" spans="2:9" x14ac:dyDescent="0.25">
      <c r="B538" s="10"/>
      <c r="E538" s="11"/>
      <c r="F538" s="11"/>
      <c r="G538" s="12"/>
      <c r="H538" s="1"/>
      <c r="I538" s="1"/>
    </row>
    <row r="539" spans="2:9" x14ac:dyDescent="0.25">
      <c r="B539" s="10"/>
      <c r="E539" s="11"/>
      <c r="F539" s="11"/>
      <c r="G539" s="12"/>
      <c r="H539" s="1"/>
      <c r="I539" s="1"/>
    </row>
    <row r="540" spans="2:9" x14ac:dyDescent="0.25">
      <c r="B540" s="10"/>
      <c r="E540" s="11"/>
      <c r="F540" s="11"/>
      <c r="G540" s="12"/>
      <c r="H540" s="1"/>
      <c r="I540" s="1"/>
    </row>
    <row r="541" spans="2:9" x14ac:dyDescent="0.25">
      <c r="B541" s="10"/>
      <c r="E541" s="11"/>
      <c r="F541" s="11"/>
      <c r="G541" s="12"/>
      <c r="H541" s="1"/>
      <c r="I541" s="1"/>
    </row>
    <row r="542" spans="2:9" x14ac:dyDescent="0.25">
      <c r="B542" s="10"/>
      <c r="E542" s="11"/>
      <c r="F542" s="11"/>
      <c r="G542" s="12"/>
      <c r="H542" s="1"/>
      <c r="I542" s="1"/>
    </row>
    <row r="543" spans="2:9" x14ac:dyDescent="0.25">
      <c r="B543" s="10"/>
      <c r="E543" s="11"/>
      <c r="F543" s="11"/>
      <c r="G543" s="12"/>
      <c r="H543" s="1"/>
      <c r="I543" s="1"/>
    </row>
    <row r="544" spans="2:9" x14ac:dyDescent="0.25">
      <c r="B544" s="10"/>
      <c r="E544" s="11"/>
      <c r="F544" s="11"/>
      <c r="G544" s="12"/>
      <c r="H544" s="1"/>
      <c r="I544" s="1"/>
    </row>
    <row r="545" spans="2:9" x14ac:dyDescent="0.25">
      <c r="B545" s="10"/>
      <c r="E545" s="11"/>
      <c r="F545" s="11"/>
      <c r="G545" s="12"/>
      <c r="H545" s="1"/>
      <c r="I545" s="1"/>
    </row>
    <row r="546" spans="2:9" x14ac:dyDescent="0.25">
      <c r="B546" s="10"/>
      <c r="E546" s="11"/>
      <c r="F546" s="11"/>
      <c r="G546" s="12"/>
      <c r="H546" s="1"/>
      <c r="I546" s="1"/>
    </row>
    <row r="547" spans="2:9" x14ac:dyDescent="0.25">
      <c r="B547" s="10"/>
      <c r="E547" s="11"/>
      <c r="F547" s="11"/>
      <c r="G547" s="12"/>
      <c r="H547" s="1"/>
      <c r="I547" s="1"/>
    </row>
    <row r="548" spans="2:9" x14ac:dyDescent="0.25">
      <c r="B548" s="10"/>
      <c r="E548" s="11"/>
      <c r="F548" s="11"/>
      <c r="G548" s="12"/>
      <c r="H548" s="1"/>
      <c r="I548" s="1"/>
    </row>
    <row r="549" spans="2:9" x14ac:dyDescent="0.25">
      <c r="B549" s="10"/>
      <c r="E549" s="11"/>
      <c r="F549" s="11"/>
      <c r="G549" s="12"/>
      <c r="H549" s="1"/>
      <c r="I549" s="1"/>
    </row>
    <row r="550" spans="2:9" x14ac:dyDescent="0.25">
      <c r="B550" s="10"/>
      <c r="E550" s="11"/>
      <c r="F550" s="11"/>
      <c r="G550" s="12"/>
      <c r="H550" s="1"/>
      <c r="I550" s="1"/>
    </row>
    <row r="551" spans="2:9" x14ac:dyDescent="0.25">
      <c r="B551" s="10"/>
      <c r="E551" s="11"/>
      <c r="F551" s="11"/>
      <c r="G551" s="12"/>
      <c r="H551" s="1"/>
      <c r="I551" s="1"/>
    </row>
    <row r="552" spans="2:9" x14ac:dyDescent="0.25">
      <c r="B552" s="10"/>
      <c r="E552" s="11"/>
      <c r="F552" s="11"/>
      <c r="G552" s="12"/>
      <c r="H552" s="1"/>
      <c r="I552" s="1"/>
    </row>
    <row r="553" spans="2:9" x14ac:dyDescent="0.25">
      <c r="B553" s="10"/>
      <c r="E553" s="11"/>
      <c r="F553" s="11"/>
      <c r="G553" s="12"/>
      <c r="H553" s="1"/>
      <c r="I553" s="1"/>
    </row>
    <row r="554" spans="2:9" x14ac:dyDescent="0.25">
      <c r="B554" s="10"/>
      <c r="E554" s="11"/>
      <c r="F554" s="11"/>
      <c r="G554" s="12"/>
      <c r="H554" s="1"/>
      <c r="I554" s="1"/>
    </row>
    <row r="555" spans="2:9" x14ac:dyDescent="0.25">
      <c r="B555" s="10"/>
      <c r="E555" s="11"/>
      <c r="F555" s="11"/>
      <c r="G555" s="12"/>
      <c r="H555" s="1"/>
      <c r="I555" s="1"/>
    </row>
    <row r="556" spans="2:9" x14ac:dyDescent="0.25">
      <c r="B556" s="10"/>
      <c r="E556" s="11"/>
      <c r="F556" s="11"/>
      <c r="G556" s="12"/>
      <c r="H556" s="1"/>
      <c r="I556" s="1"/>
    </row>
    <row r="557" spans="2:9" x14ac:dyDescent="0.25">
      <c r="B557" s="10"/>
      <c r="E557" s="11"/>
      <c r="F557" s="11"/>
      <c r="G557" s="12"/>
      <c r="H557" s="1"/>
      <c r="I557" s="1"/>
    </row>
    <row r="558" spans="2:9" x14ac:dyDescent="0.25">
      <c r="B558" s="10"/>
      <c r="E558" s="11"/>
      <c r="F558" s="11"/>
      <c r="G558" s="12"/>
      <c r="H558" s="1"/>
      <c r="I558" s="1"/>
    </row>
    <row r="559" spans="2:9" x14ac:dyDescent="0.25">
      <c r="B559" s="10"/>
      <c r="E559" s="11"/>
      <c r="F559" s="11"/>
      <c r="G559" s="12"/>
      <c r="H559" s="1"/>
      <c r="I559" s="1"/>
    </row>
    <row r="560" spans="2:9" x14ac:dyDescent="0.25">
      <c r="B560" s="10"/>
      <c r="E560" s="11"/>
      <c r="F560" s="11"/>
      <c r="G560" s="12"/>
      <c r="H560" s="1"/>
      <c r="I560" s="1"/>
    </row>
    <row r="561" spans="2:9" x14ac:dyDescent="0.25">
      <c r="B561" s="10"/>
      <c r="E561" s="11"/>
      <c r="F561" s="11"/>
      <c r="G561" s="12"/>
      <c r="H561" s="1"/>
      <c r="I561" s="1"/>
    </row>
    <row r="562" spans="2:9" x14ac:dyDescent="0.25">
      <c r="B562" s="10"/>
      <c r="E562" s="11"/>
      <c r="F562" s="11"/>
      <c r="G562" s="12"/>
      <c r="H562" s="1"/>
      <c r="I562" s="1"/>
    </row>
    <row r="563" spans="2:9" x14ac:dyDescent="0.25">
      <c r="B563" s="10"/>
      <c r="E563" s="11"/>
      <c r="F563" s="11"/>
      <c r="G563" s="12"/>
      <c r="H563" s="1"/>
      <c r="I563" s="1"/>
    </row>
    <row r="564" spans="2:9" x14ac:dyDescent="0.25">
      <c r="B564" s="10"/>
      <c r="E564" s="11"/>
      <c r="F564" s="11"/>
      <c r="G564" s="12"/>
      <c r="H564" s="1"/>
      <c r="I564" s="1"/>
    </row>
    <row r="565" spans="2:9" x14ac:dyDescent="0.25">
      <c r="B565" s="10"/>
      <c r="E565" s="11"/>
      <c r="F565" s="11"/>
      <c r="G565" s="12"/>
      <c r="H565" s="1"/>
      <c r="I565" s="1"/>
    </row>
    <row r="566" spans="2:9" x14ac:dyDescent="0.25">
      <c r="B566" s="10"/>
      <c r="E566" s="11"/>
      <c r="F566" s="11"/>
      <c r="G566" s="12"/>
      <c r="H566" s="1"/>
      <c r="I566" s="1"/>
    </row>
    <row r="567" spans="2:9" x14ac:dyDescent="0.25">
      <c r="B567" s="10"/>
      <c r="E567" s="11"/>
      <c r="F567" s="11"/>
      <c r="G567" s="12"/>
      <c r="H567" s="1"/>
      <c r="I567" s="1"/>
    </row>
    <row r="568" spans="2:9" x14ac:dyDescent="0.25">
      <c r="B568" s="10"/>
      <c r="E568" s="11"/>
      <c r="F568" s="11"/>
      <c r="G568" s="12"/>
      <c r="H568" s="1"/>
      <c r="I568" s="1"/>
    </row>
    <row r="569" spans="2:9" x14ac:dyDescent="0.25">
      <c r="B569" s="10"/>
      <c r="E569" s="11"/>
      <c r="F569" s="11"/>
      <c r="G569" s="12"/>
      <c r="H569" s="1"/>
      <c r="I569" s="1"/>
    </row>
    <row r="570" spans="2:9" x14ac:dyDescent="0.25">
      <c r="B570" s="10"/>
      <c r="E570" s="11"/>
      <c r="F570" s="11"/>
      <c r="G570" s="12"/>
      <c r="H570" s="1"/>
      <c r="I570" s="1"/>
    </row>
    <row r="571" spans="2:9" x14ac:dyDescent="0.25">
      <c r="B571" s="10"/>
      <c r="E571" s="11"/>
      <c r="F571" s="11"/>
      <c r="G571" s="12"/>
      <c r="H571" s="1"/>
      <c r="I571" s="1"/>
    </row>
    <row r="572" spans="2:9" x14ac:dyDescent="0.25">
      <c r="B572" s="10"/>
      <c r="E572" s="11"/>
      <c r="F572" s="11"/>
      <c r="G572" s="12"/>
      <c r="H572" s="1"/>
      <c r="I572" s="1"/>
    </row>
    <row r="573" spans="2:9" x14ac:dyDescent="0.25">
      <c r="B573" s="10"/>
      <c r="E573" s="11"/>
      <c r="F573" s="11"/>
      <c r="G573" s="12"/>
      <c r="H573" s="1"/>
      <c r="I573" s="1"/>
    </row>
    <row r="574" spans="2:9" x14ac:dyDescent="0.25">
      <c r="B574" s="10"/>
      <c r="E574" s="11"/>
      <c r="F574" s="11"/>
      <c r="G574" s="12"/>
      <c r="H574" s="1"/>
      <c r="I574" s="1"/>
    </row>
    <row r="575" spans="2:9" x14ac:dyDescent="0.25">
      <c r="B575" s="10"/>
      <c r="E575" s="11"/>
      <c r="F575" s="11"/>
      <c r="G575" s="12"/>
      <c r="H575" s="1"/>
      <c r="I575" s="1"/>
    </row>
    <row r="576" spans="2:9" x14ac:dyDescent="0.25">
      <c r="B576" s="10"/>
      <c r="E576" s="11"/>
      <c r="F576" s="11"/>
      <c r="G576" s="12"/>
      <c r="H576" s="1"/>
      <c r="I576" s="1"/>
    </row>
    <row r="577" spans="2:9" x14ac:dyDescent="0.25">
      <c r="B577" s="10"/>
      <c r="E577" s="11"/>
      <c r="F577" s="11"/>
      <c r="G577" s="12"/>
      <c r="H577" s="1"/>
      <c r="I577" s="1"/>
    </row>
    <row r="578" spans="2:9" x14ac:dyDescent="0.25">
      <c r="B578" s="10"/>
      <c r="E578" s="11"/>
      <c r="F578" s="11"/>
      <c r="G578" s="12"/>
      <c r="H578" s="1"/>
      <c r="I578" s="1"/>
    </row>
    <row r="579" spans="2:9" x14ac:dyDescent="0.25">
      <c r="B579" s="10"/>
      <c r="E579" s="11"/>
      <c r="F579" s="11"/>
      <c r="G579" s="12"/>
      <c r="H579" s="1"/>
      <c r="I579" s="1"/>
    </row>
    <row r="580" spans="2:9" x14ac:dyDescent="0.25">
      <c r="B580" s="10"/>
      <c r="E580" s="11"/>
      <c r="F580" s="11"/>
      <c r="G580" s="12"/>
      <c r="H580" s="1"/>
      <c r="I580" s="1"/>
    </row>
    <row r="581" spans="2:9" x14ac:dyDescent="0.25">
      <c r="B581" s="10"/>
      <c r="E581" s="11"/>
      <c r="F581" s="11"/>
      <c r="G581" s="12"/>
      <c r="H581" s="1"/>
      <c r="I581" s="1"/>
    </row>
    <row r="582" spans="2:9" x14ac:dyDescent="0.25">
      <c r="B582" s="10"/>
      <c r="E582" s="11"/>
      <c r="F582" s="11"/>
      <c r="G582" s="12"/>
      <c r="H582" s="1"/>
      <c r="I582" s="1"/>
    </row>
    <row r="583" spans="2:9" x14ac:dyDescent="0.25">
      <c r="B583" s="10"/>
      <c r="E583" s="11"/>
      <c r="F583" s="11"/>
      <c r="G583" s="12"/>
      <c r="H583" s="1"/>
      <c r="I583" s="1"/>
    </row>
    <row r="584" spans="2:9" x14ac:dyDescent="0.25">
      <c r="B584" s="10"/>
      <c r="E584" s="11"/>
      <c r="F584" s="11"/>
      <c r="G584" s="12"/>
      <c r="H584" s="1"/>
      <c r="I584" s="1"/>
    </row>
    <row r="585" spans="2:9" x14ac:dyDescent="0.25">
      <c r="B585" s="10"/>
      <c r="E585" s="11"/>
      <c r="F585" s="11"/>
      <c r="G585" s="12"/>
      <c r="H585" s="1"/>
      <c r="I585" s="1"/>
    </row>
    <row r="586" spans="2:9" x14ac:dyDescent="0.25">
      <c r="B586" s="10"/>
      <c r="E586" s="11"/>
      <c r="F586" s="11"/>
      <c r="G586" s="12"/>
      <c r="H586" s="1"/>
      <c r="I586" s="1"/>
    </row>
    <row r="587" spans="2:9" x14ac:dyDescent="0.25">
      <c r="B587" s="10"/>
      <c r="E587" s="11"/>
      <c r="F587" s="11"/>
      <c r="G587" s="12"/>
      <c r="H587" s="1"/>
      <c r="I587" s="1"/>
    </row>
    <row r="588" spans="2:9" x14ac:dyDescent="0.25">
      <c r="B588" s="10"/>
      <c r="E588" s="11"/>
      <c r="F588" s="11"/>
      <c r="G588" s="12"/>
      <c r="H588" s="1"/>
      <c r="I588" s="1"/>
    </row>
    <row r="589" spans="2:9" x14ac:dyDescent="0.25">
      <c r="B589" s="10"/>
      <c r="E589" s="11"/>
      <c r="F589" s="11"/>
      <c r="G589" s="12"/>
      <c r="H589" s="1"/>
      <c r="I589" s="1"/>
    </row>
    <row r="590" spans="2:9" x14ac:dyDescent="0.25">
      <c r="B590" s="10"/>
      <c r="E590" s="11"/>
      <c r="F590" s="11"/>
      <c r="G590" s="12"/>
      <c r="H590" s="1"/>
      <c r="I590" s="1"/>
    </row>
    <row r="591" spans="2:9" x14ac:dyDescent="0.25">
      <c r="B591" s="10"/>
      <c r="E591" s="11"/>
      <c r="F591" s="11"/>
      <c r="G591" s="12"/>
      <c r="H591" s="1"/>
      <c r="I591" s="1"/>
    </row>
    <row r="592" spans="2:9" x14ac:dyDescent="0.25">
      <c r="B592" s="10"/>
      <c r="E592" s="11"/>
      <c r="F592" s="11"/>
      <c r="G592" s="12"/>
      <c r="H592" s="1"/>
      <c r="I592" s="1"/>
    </row>
    <row r="593" spans="2:9" x14ac:dyDescent="0.25">
      <c r="B593" s="10"/>
      <c r="E593" s="11"/>
      <c r="F593" s="11"/>
      <c r="G593" s="12"/>
      <c r="H593" s="1"/>
      <c r="I593" s="1"/>
    </row>
    <row r="594" spans="2:9" x14ac:dyDescent="0.25">
      <c r="B594" s="10"/>
      <c r="E594" s="11"/>
      <c r="F594" s="11"/>
      <c r="G594" s="12"/>
      <c r="H594" s="1"/>
      <c r="I594" s="1"/>
    </row>
    <row r="595" spans="2:9" x14ac:dyDescent="0.25">
      <c r="B595" s="10"/>
      <c r="E595" s="11"/>
      <c r="F595" s="11"/>
      <c r="G595" s="12"/>
      <c r="H595" s="1"/>
      <c r="I595" s="1"/>
    </row>
    <row r="596" spans="2:9" x14ac:dyDescent="0.25">
      <c r="B596" s="10"/>
      <c r="E596" s="11"/>
      <c r="F596" s="11"/>
      <c r="G596" s="12"/>
      <c r="H596" s="1"/>
      <c r="I596" s="1"/>
    </row>
    <row r="597" spans="2:9" x14ac:dyDescent="0.25">
      <c r="B597" s="10"/>
      <c r="E597" s="11"/>
      <c r="F597" s="11"/>
      <c r="G597" s="12"/>
      <c r="H597" s="1"/>
      <c r="I597" s="1"/>
    </row>
    <row r="598" spans="2:9" x14ac:dyDescent="0.25">
      <c r="B598" s="10"/>
      <c r="E598" s="11"/>
      <c r="F598" s="11"/>
      <c r="G598" s="12"/>
      <c r="H598" s="1"/>
      <c r="I598" s="1"/>
    </row>
    <row r="599" spans="2:9" x14ac:dyDescent="0.25">
      <c r="B599" s="10"/>
      <c r="E599" s="11"/>
      <c r="F599" s="11"/>
      <c r="G599" s="12"/>
      <c r="H599" s="1"/>
      <c r="I599" s="1"/>
    </row>
    <row r="600" spans="2:9" x14ac:dyDescent="0.25">
      <c r="B600" s="10"/>
      <c r="E600" s="11"/>
      <c r="F600" s="11"/>
      <c r="G600" s="12"/>
      <c r="H600" s="1"/>
      <c r="I600" s="1"/>
    </row>
  </sheetData>
  <sheetProtection sheet="1" objects="1" scenarios="1"/>
  <mergeCells count="1">
    <mergeCell ref="G5:I5"/>
  </mergeCells>
  <printOptions horizontalCentered="1"/>
  <pageMargins left="0.5" right="0.5" top="0.6" bottom="0.6" header="0.3" footer="0.3"/>
  <pageSetup paperSize="9" scale="82" fitToHeight="0" orientation="portrait" r:id="rId1"/>
  <headerFooter>
    <oddFooter>&amp;CPage &amp;P of &amp;N&amp;LRiccardo Tedesco&amp;R&amp;D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E6E3-6526-4C55-98D5-1F405C69E63B}">
  <sheetPr codeName="wshSummary">
    <tabColor rgb="FF0F766E"/>
  </sheetPr>
  <dimension ref="B2:N23"/>
  <sheetViews>
    <sheetView showGridLines="0" workbookViewId="0"/>
  </sheetViews>
  <sheetFormatPr defaultRowHeight="15" x14ac:dyDescent="0.25"/>
  <cols>
    <col min="1" max="1" width="2.7109375" customWidth="1"/>
    <col min="2" max="2" width="22.7109375" customWidth="1"/>
    <col min="3" max="14" width="9.7109375" customWidth="1"/>
  </cols>
  <sheetData>
    <row r="2" spans="2:14" ht="21" x14ac:dyDescent="0.35">
      <c r="B2" s="4" t="s">
        <v>29</v>
      </c>
    </row>
    <row r="4" spans="2:14" x14ac:dyDescent="0.25">
      <c r="B4" s="6" t="s">
        <v>18</v>
      </c>
    </row>
    <row r="5" spans="2:14" x14ac:dyDescent="0.25">
      <c r="C5" s="25">
        <f ca="1">DATE(YEAR(TODAY()),1,1)</f>
        <v>46023</v>
      </c>
      <c r="D5" s="25">
        <f ca="1">EDATE(C5,1)</f>
        <v>46054</v>
      </c>
      <c r="E5" s="25">
        <f t="shared" ref="E5:N5" ca="1" si="0">EDATE(D5,1)</f>
        <v>46082</v>
      </c>
      <c r="F5" s="25">
        <f t="shared" ca="1" si="0"/>
        <v>46113</v>
      </c>
      <c r="G5" s="25">
        <f t="shared" ca="1" si="0"/>
        <v>46143</v>
      </c>
      <c r="H5" s="25">
        <f t="shared" ca="1" si="0"/>
        <v>46174</v>
      </c>
      <c r="I5" s="25">
        <f t="shared" ca="1" si="0"/>
        <v>46204</v>
      </c>
      <c r="J5" s="25">
        <f t="shared" ca="1" si="0"/>
        <v>46235</v>
      </c>
      <c r="K5" s="25">
        <f t="shared" ca="1" si="0"/>
        <v>46266</v>
      </c>
      <c r="L5" s="25">
        <f t="shared" ca="1" si="0"/>
        <v>46296</v>
      </c>
      <c r="M5" s="25">
        <f t="shared" ca="1" si="0"/>
        <v>46327</v>
      </c>
      <c r="N5" s="25">
        <f t="shared" ca="1" si="0"/>
        <v>46357</v>
      </c>
    </row>
    <row r="6" spans="2:14" x14ac:dyDescent="0.25">
      <c r="B6" t="str">
        <f>IFERROR(INDEX(tblClients[Client],1),"")</f>
        <v>Pet Centre</v>
      </c>
      <c r="C6" s="26">
        <f ca="1">IF($B6="",0,SUMIFS(tblTimeLog[Hours],tblTimeLog[Client],$B6,tblTimeLog[Date],"&gt;="&amp;C$5,tblTimeLog[Date],"&lt;"&amp;EDATE(C$5,1)))</f>
        <v>0</v>
      </c>
      <c r="D6" s="26">
        <f ca="1">IF($B6="",0,SUMIFS(tblTimeLog[Hours],tblTimeLog[Client],$B6,tblTimeLog[Date],"&gt;="&amp;D$5,tblTimeLog[Date],"&lt;"&amp;EDATE(D$5,1)))</f>
        <v>0</v>
      </c>
      <c r="E6" s="26">
        <f ca="1">IF($B6="",0,SUMIFS(tblTimeLog[Hours],tblTimeLog[Client],$B6,tblTimeLog[Date],"&gt;="&amp;E$5,tblTimeLog[Date],"&lt;"&amp;EDATE(E$5,1)))</f>
        <v>0</v>
      </c>
      <c r="F6" s="26">
        <f ca="1">IF($B6="",0,SUMIFS(tblTimeLog[Hours],tblTimeLog[Client],$B6,tblTimeLog[Date],"&gt;="&amp;F$5,tblTimeLog[Date],"&lt;"&amp;EDATE(F$5,1)))</f>
        <v>0</v>
      </c>
      <c r="G6" s="26">
        <f ca="1">IF($B6="",0,SUMIFS(tblTimeLog[Hours],tblTimeLog[Client],$B6,tblTimeLog[Date],"&gt;="&amp;G$5,tblTimeLog[Date],"&lt;"&amp;EDATE(G$5,1)))</f>
        <v>0</v>
      </c>
      <c r="H6" s="26">
        <f ca="1">IF($B6="",0,SUMIFS(tblTimeLog[Hours],tblTimeLog[Client],$B6,tblTimeLog[Date],"&gt;="&amp;H$5,tblTimeLog[Date],"&lt;"&amp;EDATE(H$5,1)))</f>
        <v>0</v>
      </c>
      <c r="I6" s="26">
        <f ca="1">IF($B6="",0,SUMIFS(tblTimeLog[Hours],tblTimeLog[Client],$B6,tblTimeLog[Date],"&gt;="&amp;I$5,tblTimeLog[Date],"&lt;"&amp;EDATE(I$5,1)))</f>
        <v>0</v>
      </c>
      <c r="J6" s="26">
        <f ca="1">IF($B6="",0,SUMIFS(tblTimeLog[Hours],tblTimeLog[Client],$B6,tblTimeLog[Date],"&gt;="&amp;J$5,tblTimeLog[Date],"&lt;"&amp;EDATE(J$5,1)))</f>
        <v>0</v>
      </c>
      <c r="K6" s="26">
        <f ca="1">IF($B6="",0,SUMIFS(tblTimeLog[Hours],tblTimeLog[Client],$B6,tblTimeLog[Date],"&gt;="&amp;K$5,tblTimeLog[Date],"&lt;"&amp;EDATE(K$5,1)))</f>
        <v>0</v>
      </c>
      <c r="L6" s="26">
        <f ca="1">IF($B6="",0,SUMIFS(tblTimeLog[Hours],tblTimeLog[Client],$B6,tblTimeLog[Date],"&gt;="&amp;L$5,tblTimeLog[Date],"&lt;"&amp;EDATE(L$5,1)))</f>
        <v>0</v>
      </c>
      <c r="M6" s="26">
        <f ca="1">IF($B6="",0,SUMIFS(tblTimeLog[Hours],tblTimeLog[Client],$B6,tblTimeLog[Date],"&gt;="&amp;M$5,tblTimeLog[Date],"&lt;"&amp;EDATE(M$5,1)))</f>
        <v>0</v>
      </c>
      <c r="N6" s="26">
        <f ca="1">IF($B6="",0,SUMIFS(tblTimeLog[Hours],tblTimeLog[Client],$B6,tblTimeLog[Date],"&gt;="&amp;N$5,tblTimeLog[Date],"&lt;"&amp;EDATE(N$5,1)))</f>
        <v>0</v>
      </c>
    </row>
    <row r="7" spans="2:14" x14ac:dyDescent="0.25">
      <c r="B7" t="str">
        <f>IFERROR(INDEX(tblClients[Client],2),"")</f>
        <v>Splash Store</v>
      </c>
      <c r="C7" s="26">
        <f ca="1">IF($B7="",0,SUMIFS(tblTimeLog[Hours],tblTimeLog[Client],$B7,tblTimeLog[Date],"&gt;="&amp;C$5,tblTimeLog[Date],"&lt;"&amp;EDATE(C$5,1)))</f>
        <v>0</v>
      </c>
      <c r="D7" s="26">
        <f ca="1">IF($B7="",0,SUMIFS(tblTimeLog[Hours],tblTimeLog[Client],$B7,tblTimeLog[Date],"&gt;="&amp;D$5,tblTimeLog[Date],"&lt;"&amp;EDATE(D$5,1)))</f>
        <v>0</v>
      </c>
      <c r="E7" s="26">
        <f ca="1">IF($B7="",0,SUMIFS(tblTimeLog[Hours],tblTimeLog[Client],$B7,tblTimeLog[Date],"&gt;="&amp;E$5,tblTimeLog[Date],"&lt;"&amp;EDATE(E$5,1)))</f>
        <v>0</v>
      </c>
      <c r="F7" s="26">
        <f ca="1">IF($B7="",0,SUMIFS(tblTimeLog[Hours],tblTimeLog[Client],$B7,tblTimeLog[Date],"&gt;="&amp;F$5,tblTimeLog[Date],"&lt;"&amp;EDATE(F$5,1)))</f>
        <v>0</v>
      </c>
      <c r="G7" s="26">
        <f ca="1">IF($B7="",0,SUMIFS(tblTimeLog[Hours],tblTimeLog[Client],$B7,tblTimeLog[Date],"&gt;="&amp;G$5,tblTimeLog[Date],"&lt;"&amp;EDATE(G$5,1)))</f>
        <v>0</v>
      </c>
      <c r="H7" s="26">
        <f ca="1">IF($B7="",0,SUMIFS(tblTimeLog[Hours],tblTimeLog[Client],$B7,tblTimeLog[Date],"&gt;="&amp;H$5,tblTimeLog[Date],"&lt;"&amp;EDATE(H$5,1)))</f>
        <v>0</v>
      </c>
      <c r="I7" s="26">
        <f ca="1">IF($B7="",0,SUMIFS(tblTimeLog[Hours],tblTimeLog[Client],$B7,tblTimeLog[Date],"&gt;="&amp;I$5,tblTimeLog[Date],"&lt;"&amp;EDATE(I$5,1)))</f>
        <v>0</v>
      </c>
      <c r="J7" s="26">
        <f ca="1">IF($B7="",0,SUMIFS(tblTimeLog[Hours],tblTimeLog[Client],$B7,tblTimeLog[Date],"&gt;="&amp;J$5,tblTimeLog[Date],"&lt;"&amp;EDATE(J$5,1)))</f>
        <v>0</v>
      </c>
      <c r="K7" s="26">
        <f ca="1">IF($B7="",0,SUMIFS(tblTimeLog[Hours],tblTimeLog[Client],$B7,tblTimeLog[Date],"&gt;="&amp;K$5,tblTimeLog[Date],"&lt;"&amp;EDATE(K$5,1)))</f>
        <v>0</v>
      </c>
      <c r="L7" s="26">
        <f ca="1">IF($B7="",0,SUMIFS(tblTimeLog[Hours],tblTimeLog[Client],$B7,tblTimeLog[Date],"&gt;="&amp;L$5,tblTimeLog[Date],"&lt;"&amp;EDATE(L$5,1)))</f>
        <v>0</v>
      </c>
      <c r="M7" s="26">
        <f ca="1">IF($B7="",0,SUMIFS(tblTimeLog[Hours],tblTimeLog[Client],$B7,tblTimeLog[Date],"&gt;="&amp;M$5,tblTimeLog[Date],"&lt;"&amp;EDATE(M$5,1)))</f>
        <v>0</v>
      </c>
      <c r="N7" s="26">
        <f ca="1">IF($B7="",0,SUMIFS(tblTimeLog[Hours],tblTimeLog[Client],$B7,tblTimeLog[Date],"&gt;="&amp;N$5,tblTimeLog[Date],"&lt;"&amp;EDATE(N$5,1)))</f>
        <v>0</v>
      </c>
    </row>
    <row r="8" spans="2:14" x14ac:dyDescent="0.25">
      <c r="B8" t="str">
        <f>IFERROR(INDEX(tblClients[Client],3),"")</f>
        <v/>
      </c>
      <c r="C8" s="26">
        <f>IF($B8="",0,SUMIFS(tblTimeLog[Hours],tblTimeLog[Client],$B8,tblTimeLog[Date],"&gt;="&amp;C$5,tblTimeLog[Date],"&lt;"&amp;EDATE(C$5,1)))</f>
        <v>0</v>
      </c>
      <c r="D8" s="26">
        <f>IF($B8="",0,SUMIFS(tblTimeLog[Hours],tblTimeLog[Client],$B8,tblTimeLog[Date],"&gt;="&amp;D$5,tblTimeLog[Date],"&lt;"&amp;EDATE(D$5,1)))</f>
        <v>0</v>
      </c>
      <c r="E8" s="26">
        <f>IF($B8="",0,SUMIFS(tblTimeLog[Hours],tblTimeLog[Client],$B8,tblTimeLog[Date],"&gt;="&amp;E$5,tblTimeLog[Date],"&lt;"&amp;EDATE(E$5,1)))</f>
        <v>0</v>
      </c>
      <c r="F8" s="26">
        <f>IF($B8="",0,SUMIFS(tblTimeLog[Hours],tblTimeLog[Client],$B8,tblTimeLog[Date],"&gt;="&amp;F$5,tblTimeLog[Date],"&lt;"&amp;EDATE(F$5,1)))</f>
        <v>0</v>
      </c>
      <c r="G8" s="26">
        <f>IF($B8="",0,SUMIFS(tblTimeLog[Hours],tblTimeLog[Client],$B8,tblTimeLog[Date],"&gt;="&amp;G$5,tblTimeLog[Date],"&lt;"&amp;EDATE(G$5,1)))</f>
        <v>0</v>
      </c>
      <c r="H8" s="26">
        <f>IF($B8="",0,SUMIFS(tblTimeLog[Hours],tblTimeLog[Client],$B8,tblTimeLog[Date],"&gt;="&amp;H$5,tblTimeLog[Date],"&lt;"&amp;EDATE(H$5,1)))</f>
        <v>0</v>
      </c>
      <c r="I8" s="26">
        <f>IF($B8="",0,SUMIFS(tblTimeLog[Hours],tblTimeLog[Client],$B8,tblTimeLog[Date],"&gt;="&amp;I$5,tblTimeLog[Date],"&lt;"&amp;EDATE(I$5,1)))</f>
        <v>0</v>
      </c>
      <c r="J8" s="26">
        <f>IF($B8="",0,SUMIFS(tblTimeLog[Hours],tblTimeLog[Client],$B8,tblTimeLog[Date],"&gt;="&amp;J$5,tblTimeLog[Date],"&lt;"&amp;EDATE(J$5,1)))</f>
        <v>0</v>
      </c>
      <c r="K8" s="26">
        <f>IF($B8="",0,SUMIFS(tblTimeLog[Hours],tblTimeLog[Client],$B8,tblTimeLog[Date],"&gt;="&amp;K$5,tblTimeLog[Date],"&lt;"&amp;EDATE(K$5,1)))</f>
        <v>0</v>
      </c>
      <c r="L8" s="26">
        <f>IF($B8="",0,SUMIFS(tblTimeLog[Hours],tblTimeLog[Client],$B8,tblTimeLog[Date],"&gt;="&amp;L$5,tblTimeLog[Date],"&lt;"&amp;EDATE(L$5,1)))</f>
        <v>0</v>
      </c>
      <c r="M8" s="26">
        <f>IF($B8="",0,SUMIFS(tblTimeLog[Hours],tblTimeLog[Client],$B8,tblTimeLog[Date],"&gt;="&amp;M$5,tblTimeLog[Date],"&lt;"&amp;EDATE(M$5,1)))</f>
        <v>0</v>
      </c>
      <c r="N8" s="26">
        <f>IF($B8="",0,SUMIFS(tblTimeLog[Hours],tblTimeLog[Client],$B8,tblTimeLog[Date],"&gt;="&amp;N$5,tblTimeLog[Date],"&lt;"&amp;EDATE(N$5,1)))</f>
        <v>0</v>
      </c>
    </row>
    <row r="9" spans="2:14" x14ac:dyDescent="0.25">
      <c r="B9" t="str">
        <f>IFERROR(INDEX(tblClients[Client],4),"")</f>
        <v/>
      </c>
      <c r="C9" s="26">
        <f>IF($B9="",0,SUMIFS(tblTimeLog[Hours],tblTimeLog[Client],$B9,tblTimeLog[Date],"&gt;="&amp;C$5,tblTimeLog[Date],"&lt;"&amp;EDATE(C$5,1)))</f>
        <v>0</v>
      </c>
      <c r="D9" s="26">
        <f>IF($B9="",0,SUMIFS(tblTimeLog[Hours],tblTimeLog[Client],$B9,tblTimeLog[Date],"&gt;="&amp;D$5,tblTimeLog[Date],"&lt;"&amp;EDATE(D$5,1)))</f>
        <v>0</v>
      </c>
      <c r="E9" s="26">
        <f>IF($B9="",0,SUMIFS(tblTimeLog[Hours],tblTimeLog[Client],$B9,tblTimeLog[Date],"&gt;="&amp;E$5,tblTimeLog[Date],"&lt;"&amp;EDATE(E$5,1)))</f>
        <v>0</v>
      </c>
      <c r="F9" s="26">
        <f>IF($B9="",0,SUMIFS(tblTimeLog[Hours],tblTimeLog[Client],$B9,tblTimeLog[Date],"&gt;="&amp;F$5,tblTimeLog[Date],"&lt;"&amp;EDATE(F$5,1)))</f>
        <v>0</v>
      </c>
      <c r="G9" s="26">
        <f>IF($B9="",0,SUMIFS(tblTimeLog[Hours],tblTimeLog[Client],$B9,tblTimeLog[Date],"&gt;="&amp;G$5,tblTimeLog[Date],"&lt;"&amp;EDATE(G$5,1)))</f>
        <v>0</v>
      </c>
      <c r="H9" s="26">
        <f>IF($B9="",0,SUMIFS(tblTimeLog[Hours],tblTimeLog[Client],$B9,tblTimeLog[Date],"&gt;="&amp;H$5,tblTimeLog[Date],"&lt;"&amp;EDATE(H$5,1)))</f>
        <v>0</v>
      </c>
      <c r="I9" s="26">
        <f>IF($B9="",0,SUMIFS(tblTimeLog[Hours],tblTimeLog[Client],$B9,tblTimeLog[Date],"&gt;="&amp;I$5,tblTimeLog[Date],"&lt;"&amp;EDATE(I$5,1)))</f>
        <v>0</v>
      </c>
      <c r="J9" s="26">
        <f>IF($B9="",0,SUMIFS(tblTimeLog[Hours],tblTimeLog[Client],$B9,tblTimeLog[Date],"&gt;="&amp;J$5,tblTimeLog[Date],"&lt;"&amp;EDATE(J$5,1)))</f>
        <v>0</v>
      </c>
      <c r="K9" s="26">
        <f>IF($B9="",0,SUMIFS(tblTimeLog[Hours],tblTimeLog[Client],$B9,tblTimeLog[Date],"&gt;="&amp;K$5,tblTimeLog[Date],"&lt;"&amp;EDATE(K$5,1)))</f>
        <v>0</v>
      </c>
      <c r="L9" s="26">
        <f>IF($B9="",0,SUMIFS(tblTimeLog[Hours],tblTimeLog[Client],$B9,tblTimeLog[Date],"&gt;="&amp;L$5,tblTimeLog[Date],"&lt;"&amp;EDATE(L$5,1)))</f>
        <v>0</v>
      </c>
      <c r="M9" s="26">
        <f>IF($B9="",0,SUMIFS(tblTimeLog[Hours],tblTimeLog[Client],$B9,tblTimeLog[Date],"&gt;="&amp;M$5,tblTimeLog[Date],"&lt;"&amp;EDATE(M$5,1)))</f>
        <v>0</v>
      </c>
      <c r="N9" s="26">
        <f>IF($B9="",0,SUMIFS(tblTimeLog[Hours],tblTimeLog[Client],$B9,tblTimeLog[Date],"&gt;="&amp;N$5,tblTimeLog[Date],"&lt;"&amp;EDATE(N$5,1)))</f>
        <v>0</v>
      </c>
    </row>
    <row r="10" spans="2:14" x14ac:dyDescent="0.25">
      <c r="B10" t="str">
        <f>IFERROR(INDEX(tblClients[Client],5),"")</f>
        <v/>
      </c>
      <c r="C10" s="26">
        <f>IF($B10="",0,SUMIFS(tblTimeLog[Hours],tblTimeLog[Client],$B10,tblTimeLog[Date],"&gt;="&amp;C$5,tblTimeLog[Date],"&lt;"&amp;EDATE(C$5,1)))</f>
        <v>0</v>
      </c>
      <c r="D10" s="26">
        <f>IF($B10="",0,SUMIFS(tblTimeLog[Hours],tblTimeLog[Client],$B10,tblTimeLog[Date],"&gt;="&amp;D$5,tblTimeLog[Date],"&lt;"&amp;EDATE(D$5,1)))</f>
        <v>0</v>
      </c>
      <c r="E10" s="26">
        <f>IF($B10="",0,SUMIFS(tblTimeLog[Hours],tblTimeLog[Client],$B10,tblTimeLog[Date],"&gt;="&amp;E$5,tblTimeLog[Date],"&lt;"&amp;EDATE(E$5,1)))</f>
        <v>0</v>
      </c>
      <c r="F10" s="26">
        <f>IF($B10="",0,SUMIFS(tblTimeLog[Hours],tblTimeLog[Client],$B10,tblTimeLog[Date],"&gt;="&amp;F$5,tblTimeLog[Date],"&lt;"&amp;EDATE(F$5,1)))</f>
        <v>0</v>
      </c>
      <c r="G10" s="26">
        <f>IF($B10="",0,SUMIFS(tblTimeLog[Hours],tblTimeLog[Client],$B10,tblTimeLog[Date],"&gt;="&amp;G$5,tblTimeLog[Date],"&lt;"&amp;EDATE(G$5,1)))</f>
        <v>0</v>
      </c>
      <c r="H10" s="26">
        <f>IF($B10="",0,SUMIFS(tblTimeLog[Hours],tblTimeLog[Client],$B10,tblTimeLog[Date],"&gt;="&amp;H$5,tblTimeLog[Date],"&lt;"&amp;EDATE(H$5,1)))</f>
        <v>0</v>
      </c>
      <c r="I10" s="26">
        <f>IF($B10="",0,SUMIFS(tblTimeLog[Hours],tblTimeLog[Client],$B10,tblTimeLog[Date],"&gt;="&amp;I$5,tblTimeLog[Date],"&lt;"&amp;EDATE(I$5,1)))</f>
        <v>0</v>
      </c>
      <c r="J10" s="26">
        <f>IF($B10="",0,SUMIFS(tblTimeLog[Hours],tblTimeLog[Client],$B10,tblTimeLog[Date],"&gt;="&amp;J$5,tblTimeLog[Date],"&lt;"&amp;EDATE(J$5,1)))</f>
        <v>0</v>
      </c>
      <c r="K10" s="26">
        <f>IF($B10="",0,SUMIFS(tblTimeLog[Hours],tblTimeLog[Client],$B10,tblTimeLog[Date],"&gt;="&amp;K$5,tblTimeLog[Date],"&lt;"&amp;EDATE(K$5,1)))</f>
        <v>0</v>
      </c>
      <c r="L10" s="26">
        <f>IF($B10="",0,SUMIFS(tblTimeLog[Hours],tblTimeLog[Client],$B10,tblTimeLog[Date],"&gt;="&amp;L$5,tblTimeLog[Date],"&lt;"&amp;EDATE(L$5,1)))</f>
        <v>0</v>
      </c>
      <c r="M10" s="26">
        <f>IF($B10="",0,SUMIFS(tblTimeLog[Hours],tblTimeLog[Client],$B10,tblTimeLog[Date],"&gt;="&amp;M$5,tblTimeLog[Date],"&lt;"&amp;EDATE(M$5,1)))</f>
        <v>0</v>
      </c>
      <c r="N10" s="26">
        <f>IF($B10="",0,SUMIFS(tblTimeLog[Hours],tblTimeLog[Client],$B10,tblTimeLog[Date],"&gt;="&amp;N$5,tblTimeLog[Date],"&lt;"&amp;EDATE(N$5,1)))</f>
        <v>0</v>
      </c>
    </row>
    <row r="11" spans="2:14" x14ac:dyDescent="0.25">
      <c r="B11" t="str">
        <f>IFERROR(INDEX(tblClients[Client],6),"")</f>
        <v/>
      </c>
      <c r="C11" s="26">
        <f>IF($B11="",0,SUMIFS(tblTimeLog[Hours],tblTimeLog[Client],$B11,tblTimeLog[Date],"&gt;="&amp;C$5,tblTimeLog[Date],"&lt;"&amp;EDATE(C$5,1)))</f>
        <v>0</v>
      </c>
      <c r="D11" s="26">
        <f>IF($B11="",0,SUMIFS(tblTimeLog[Hours],tblTimeLog[Client],$B11,tblTimeLog[Date],"&gt;="&amp;D$5,tblTimeLog[Date],"&lt;"&amp;EDATE(D$5,1)))</f>
        <v>0</v>
      </c>
      <c r="E11" s="26">
        <f>IF($B11="",0,SUMIFS(tblTimeLog[Hours],tblTimeLog[Client],$B11,tblTimeLog[Date],"&gt;="&amp;E$5,tblTimeLog[Date],"&lt;"&amp;EDATE(E$5,1)))</f>
        <v>0</v>
      </c>
      <c r="F11" s="26">
        <f>IF($B11="",0,SUMIFS(tblTimeLog[Hours],tblTimeLog[Client],$B11,tblTimeLog[Date],"&gt;="&amp;F$5,tblTimeLog[Date],"&lt;"&amp;EDATE(F$5,1)))</f>
        <v>0</v>
      </c>
      <c r="G11" s="26">
        <f>IF($B11="",0,SUMIFS(tblTimeLog[Hours],tblTimeLog[Client],$B11,tblTimeLog[Date],"&gt;="&amp;G$5,tblTimeLog[Date],"&lt;"&amp;EDATE(G$5,1)))</f>
        <v>0</v>
      </c>
      <c r="H11" s="26">
        <f>IF($B11="",0,SUMIFS(tblTimeLog[Hours],tblTimeLog[Client],$B11,tblTimeLog[Date],"&gt;="&amp;H$5,tblTimeLog[Date],"&lt;"&amp;EDATE(H$5,1)))</f>
        <v>0</v>
      </c>
      <c r="I11" s="26">
        <f>IF($B11="",0,SUMIFS(tblTimeLog[Hours],tblTimeLog[Client],$B11,tblTimeLog[Date],"&gt;="&amp;I$5,tblTimeLog[Date],"&lt;"&amp;EDATE(I$5,1)))</f>
        <v>0</v>
      </c>
      <c r="J11" s="26">
        <f>IF($B11="",0,SUMIFS(tblTimeLog[Hours],tblTimeLog[Client],$B11,tblTimeLog[Date],"&gt;="&amp;J$5,tblTimeLog[Date],"&lt;"&amp;EDATE(J$5,1)))</f>
        <v>0</v>
      </c>
      <c r="K11" s="26">
        <f>IF($B11="",0,SUMIFS(tblTimeLog[Hours],tblTimeLog[Client],$B11,tblTimeLog[Date],"&gt;="&amp;K$5,tblTimeLog[Date],"&lt;"&amp;EDATE(K$5,1)))</f>
        <v>0</v>
      </c>
      <c r="L11" s="26">
        <f>IF($B11="",0,SUMIFS(tblTimeLog[Hours],tblTimeLog[Client],$B11,tblTimeLog[Date],"&gt;="&amp;L$5,tblTimeLog[Date],"&lt;"&amp;EDATE(L$5,1)))</f>
        <v>0</v>
      </c>
      <c r="M11" s="26">
        <f>IF($B11="",0,SUMIFS(tblTimeLog[Hours],tblTimeLog[Client],$B11,tblTimeLog[Date],"&gt;="&amp;M$5,tblTimeLog[Date],"&lt;"&amp;EDATE(M$5,1)))</f>
        <v>0</v>
      </c>
      <c r="N11" s="26">
        <f>IF($B11="",0,SUMIFS(tblTimeLog[Hours],tblTimeLog[Client],$B11,tblTimeLog[Date],"&gt;="&amp;N$5,tblTimeLog[Date],"&lt;"&amp;EDATE(N$5,1)))</f>
        <v>0</v>
      </c>
    </row>
    <row r="12" spans="2:14" x14ac:dyDescent="0.25">
      <c r="B12" s="6" t="s">
        <v>30</v>
      </c>
      <c r="C12" s="26">
        <f ca="1">SUM(C6:C11)</f>
        <v>0</v>
      </c>
      <c r="D12" s="26">
        <f t="shared" ref="D12:N12" ca="1" si="1">SUM(D6:D11)</f>
        <v>0</v>
      </c>
      <c r="E12" s="26">
        <f t="shared" ca="1" si="1"/>
        <v>0</v>
      </c>
      <c r="F12" s="26">
        <f t="shared" ca="1" si="1"/>
        <v>0</v>
      </c>
      <c r="G12" s="26">
        <f t="shared" ca="1" si="1"/>
        <v>0</v>
      </c>
      <c r="H12" s="26">
        <f t="shared" ca="1" si="1"/>
        <v>0</v>
      </c>
      <c r="I12" s="26">
        <f t="shared" ca="1" si="1"/>
        <v>0</v>
      </c>
      <c r="J12" s="26">
        <f t="shared" ca="1" si="1"/>
        <v>0</v>
      </c>
      <c r="K12" s="26">
        <f t="shared" ca="1" si="1"/>
        <v>0</v>
      </c>
      <c r="L12" s="26">
        <f t="shared" ca="1" si="1"/>
        <v>0</v>
      </c>
      <c r="M12" s="26">
        <f t="shared" ca="1" si="1"/>
        <v>0</v>
      </c>
      <c r="N12" s="26">
        <f t="shared" ca="1" si="1"/>
        <v>0</v>
      </c>
    </row>
    <row r="15" spans="2:14" x14ac:dyDescent="0.25">
      <c r="B15" s="6" t="s">
        <v>31</v>
      </c>
    </row>
    <row r="16" spans="2:14" x14ac:dyDescent="0.25">
      <c r="C16" s="25">
        <f ca="1">C5</f>
        <v>46023</v>
      </c>
      <c r="D16" s="25">
        <f t="shared" ref="D16:N16" ca="1" si="2">D5</f>
        <v>46054</v>
      </c>
      <c r="E16" s="25">
        <f t="shared" ca="1" si="2"/>
        <v>46082</v>
      </c>
      <c r="F16" s="25">
        <f t="shared" ca="1" si="2"/>
        <v>46113</v>
      </c>
      <c r="G16" s="25">
        <f t="shared" ca="1" si="2"/>
        <v>46143</v>
      </c>
      <c r="H16" s="25">
        <f t="shared" ca="1" si="2"/>
        <v>46174</v>
      </c>
      <c r="I16" s="25">
        <f t="shared" ca="1" si="2"/>
        <v>46204</v>
      </c>
      <c r="J16" s="25">
        <f t="shared" ca="1" si="2"/>
        <v>46235</v>
      </c>
      <c r="K16" s="25">
        <f t="shared" ca="1" si="2"/>
        <v>46266</v>
      </c>
      <c r="L16" s="25">
        <f t="shared" ca="1" si="2"/>
        <v>46296</v>
      </c>
      <c r="M16" s="25">
        <f t="shared" ca="1" si="2"/>
        <v>46327</v>
      </c>
      <c r="N16" s="25">
        <f t="shared" ca="1" si="2"/>
        <v>46357</v>
      </c>
    </row>
    <row r="17" spans="2:14" x14ac:dyDescent="0.25">
      <c r="B17" t="str">
        <f>B6</f>
        <v>Pet Centre</v>
      </c>
      <c r="C17" s="24">
        <f ca="1">IF($B17="",0,SUMIFS(tblTimeLog[Amount],tblTimeLog[Client],$B17,tblTimeLog[Date],"&gt;="&amp;C$16,tblTimeLog[Date],"&lt;"&amp;EDATE(C$16,1)))</f>
        <v>0</v>
      </c>
      <c r="D17" s="24">
        <f ca="1">IF($B17="",0,SUMIFS(tblTimeLog[Amount],tblTimeLog[Client],$B17,tblTimeLog[Date],"&gt;="&amp;D$16,tblTimeLog[Date],"&lt;"&amp;EDATE(D$16,1)))</f>
        <v>0</v>
      </c>
      <c r="E17" s="24">
        <f ca="1">IF($B17="",0,SUMIFS(tblTimeLog[Amount],tblTimeLog[Client],$B17,tblTimeLog[Date],"&gt;="&amp;E$16,tblTimeLog[Date],"&lt;"&amp;EDATE(E$16,1)))</f>
        <v>0</v>
      </c>
      <c r="F17" s="24">
        <f ca="1">IF($B17="",0,SUMIFS(tblTimeLog[Amount],tblTimeLog[Client],$B17,tblTimeLog[Date],"&gt;="&amp;F$16,tblTimeLog[Date],"&lt;"&amp;EDATE(F$16,1)))</f>
        <v>0</v>
      </c>
      <c r="G17" s="24">
        <f ca="1">IF($B17="",0,SUMIFS(tblTimeLog[Amount],tblTimeLog[Client],$B17,tblTimeLog[Date],"&gt;="&amp;G$16,tblTimeLog[Date],"&lt;"&amp;EDATE(G$16,1)))</f>
        <v>0</v>
      </c>
      <c r="H17" s="24">
        <f ca="1">IF($B17="",0,SUMIFS(tblTimeLog[Amount],tblTimeLog[Client],$B17,tblTimeLog[Date],"&gt;="&amp;H$16,tblTimeLog[Date],"&lt;"&amp;EDATE(H$16,1)))</f>
        <v>0</v>
      </c>
      <c r="I17" s="24">
        <f ca="1">IF($B17="",0,SUMIFS(tblTimeLog[Amount],tblTimeLog[Client],$B17,tblTimeLog[Date],"&gt;="&amp;I$16,tblTimeLog[Date],"&lt;"&amp;EDATE(I$16,1)))</f>
        <v>0</v>
      </c>
      <c r="J17" s="24">
        <f ca="1">IF($B17="",0,SUMIFS(tblTimeLog[Amount],tblTimeLog[Client],$B17,tblTimeLog[Date],"&gt;="&amp;J$16,tblTimeLog[Date],"&lt;"&amp;EDATE(J$16,1)))</f>
        <v>0</v>
      </c>
      <c r="K17" s="24">
        <f ca="1">IF($B17="",0,SUMIFS(tblTimeLog[Amount],tblTimeLog[Client],$B17,tblTimeLog[Date],"&gt;="&amp;K$16,tblTimeLog[Date],"&lt;"&amp;EDATE(K$16,1)))</f>
        <v>0</v>
      </c>
      <c r="L17" s="24">
        <f ca="1">IF($B17="",0,SUMIFS(tblTimeLog[Amount],tblTimeLog[Client],$B17,tblTimeLog[Date],"&gt;="&amp;L$16,tblTimeLog[Date],"&lt;"&amp;EDATE(L$16,1)))</f>
        <v>0</v>
      </c>
      <c r="M17" s="24">
        <f ca="1">IF($B17="",0,SUMIFS(tblTimeLog[Amount],tblTimeLog[Client],$B17,tblTimeLog[Date],"&gt;="&amp;M$16,tblTimeLog[Date],"&lt;"&amp;EDATE(M$16,1)))</f>
        <v>0</v>
      </c>
      <c r="N17" s="24">
        <f ca="1">IF($B17="",0,SUMIFS(tblTimeLog[Amount],tblTimeLog[Client],$B17,tblTimeLog[Date],"&gt;="&amp;N$16,tblTimeLog[Date],"&lt;"&amp;EDATE(N$16,1)))</f>
        <v>0</v>
      </c>
    </row>
    <row r="18" spans="2:14" x14ac:dyDescent="0.25">
      <c r="B18" t="str">
        <f t="shared" ref="B18:B22" si="3">B7</f>
        <v>Splash Store</v>
      </c>
      <c r="C18" s="24">
        <f ca="1">IF($B18="",0,SUMIFS(tblTimeLog[Amount],tblTimeLog[Client],$B18,tblTimeLog[Date],"&gt;="&amp;C$16,tblTimeLog[Date],"&lt;"&amp;EDATE(C$16,1)))</f>
        <v>0</v>
      </c>
      <c r="D18" s="24">
        <f ca="1">IF($B18="",0,SUMIFS(tblTimeLog[Amount],tblTimeLog[Client],$B18,tblTimeLog[Date],"&gt;="&amp;D$16,tblTimeLog[Date],"&lt;"&amp;EDATE(D$16,1)))</f>
        <v>0</v>
      </c>
      <c r="E18" s="24">
        <f ca="1">IF($B18="",0,SUMIFS(tblTimeLog[Amount],tblTimeLog[Client],$B18,tblTimeLog[Date],"&gt;="&amp;E$16,tblTimeLog[Date],"&lt;"&amp;EDATE(E$16,1)))</f>
        <v>0</v>
      </c>
      <c r="F18" s="24">
        <f ca="1">IF($B18="",0,SUMIFS(tblTimeLog[Amount],tblTimeLog[Client],$B18,tblTimeLog[Date],"&gt;="&amp;F$16,tblTimeLog[Date],"&lt;"&amp;EDATE(F$16,1)))</f>
        <v>0</v>
      </c>
      <c r="G18" s="24">
        <f ca="1">IF($B18="",0,SUMIFS(tblTimeLog[Amount],tblTimeLog[Client],$B18,tblTimeLog[Date],"&gt;="&amp;G$16,tblTimeLog[Date],"&lt;"&amp;EDATE(G$16,1)))</f>
        <v>0</v>
      </c>
      <c r="H18" s="24">
        <f ca="1">IF($B18="",0,SUMIFS(tblTimeLog[Amount],tblTimeLog[Client],$B18,tblTimeLog[Date],"&gt;="&amp;H$16,tblTimeLog[Date],"&lt;"&amp;EDATE(H$16,1)))</f>
        <v>0</v>
      </c>
      <c r="I18" s="24">
        <f ca="1">IF($B18="",0,SUMIFS(tblTimeLog[Amount],tblTimeLog[Client],$B18,tblTimeLog[Date],"&gt;="&amp;I$16,tblTimeLog[Date],"&lt;"&amp;EDATE(I$16,1)))</f>
        <v>0</v>
      </c>
      <c r="J18" s="24">
        <f ca="1">IF($B18="",0,SUMIFS(tblTimeLog[Amount],tblTimeLog[Client],$B18,tblTimeLog[Date],"&gt;="&amp;J$16,tblTimeLog[Date],"&lt;"&amp;EDATE(J$16,1)))</f>
        <v>0</v>
      </c>
      <c r="K18" s="24">
        <f ca="1">IF($B18="",0,SUMIFS(tblTimeLog[Amount],tblTimeLog[Client],$B18,tblTimeLog[Date],"&gt;="&amp;K$16,tblTimeLog[Date],"&lt;"&amp;EDATE(K$16,1)))</f>
        <v>0</v>
      </c>
      <c r="L18" s="24">
        <f ca="1">IF($B18="",0,SUMIFS(tblTimeLog[Amount],tblTimeLog[Client],$B18,tblTimeLog[Date],"&gt;="&amp;L$16,tblTimeLog[Date],"&lt;"&amp;EDATE(L$16,1)))</f>
        <v>0</v>
      </c>
      <c r="M18" s="24">
        <f ca="1">IF($B18="",0,SUMIFS(tblTimeLog[Amount],tblTimeLog[Client],$B18,tblTimeLog[Date],"&gt;="&amp;M$16,tblTimeLog[Date],"&lt;"&amp;EDATE(M$16,1)))</f>
        <v>0</v>
      </c>
      <c r="N18" s="24">
        <f ca="1">IF($B18="",0,SUMIFS(tblTimeLog[Amount],tblTimeLog[Client],$B18,tblTimeLog[Date],"&gt;="&amp;N$16,tblTimeLog[Date],"&lt;"&amp;EDATE(N$16,1)))</f>
        <v>0</v>
      </c>
    </row>
    <row r="19" spans="2:14" x14ac:dyDescent="0.25">
      <c r="B19" t="str">
        <f t="shared" si="3"/>
        <v/>
      </c>
      <c r="C19" s="24">
        <f>IF($B19="",0,SUMIFS(tblTimeLog[Amount],tblTimeLog[Client],$B19,tblTimeLog[Date],"&gt;="&amp;C$16,tblTimeLog[Date],"&lt;"&amp;EDATE(C$16,1)))</f>
        <v>0</v>
      </c>
      <c r="D19" s="24">
        <f>IF($B19="",0,SUMIFS(tblTimeLog[Amount],tblTimeLog[Client],$B19,tblTimeLog[Date],"&gt;="&amp;D$16,tblTimeLog[Date],"&lt;"&amp;EDATE(D$16,1)))</f>
        <v>0</v>
      </c>
      <c r="E19" s="24">
        <f>IF($B19="",0,SUMIFS(tblTimeLog[Amount],tblTimeLog[Client],$B19,tblTimeLog[Date],"&gt;="&amp;E$16,tblTimeLog[Date],"&lt;"&amp;EDATE(E$16,1)))</f>
        <v>0</v>
      </c>
      <c r="F19" s="24">
        <f>IF($B19="",0,SUMIFS(tblTimeLog[Amount],tblTimeLog[Client],$B19,tblTimeLog[Date],"&gt;="&amp;F$16,tblTimeLog[Date],"&lt;"&amp;EDATE(F$16,1)))</f>
        <v>0</v>
      </c>
      <c r="G19" s="24">
        <f>IF($B19="",0,SUMIFS(tblTimeLog[Amount],tblTimeLog[Client],$B19,tblTimeLog[Date],"&gt;="&amp;G$16,tblTimeLog[Date],"&lt;"&amp;EDATE(G$16,1)))</f>
        <v>0</v>
      </c>
      <c r="H19" s="24">
        <f>IF($B19="",0,SUMIFS(tblTimeLog[Amount],tblTimeLog[Client],$B19,tblTimeLog[Date],"&gt;="&amp;H$16,tblTimeLog[Date],"&lt;"&amp;EDATE(H$16,1)))</f>
        <v>0</v>
      </c>
      <c r="I19" s="24">
        <f>IF($B19="",0,SUMIFS(tblTimeLog[Amount],tblTimeLog[Client],$B19,tblTimeLog[Date],"&gt;="&amp;I$16,tblTimeLog[Date],"&lt;"&amp;EDATE(I$16,1)))</f>
        <v>0</v>
      </c>
      <c r="J19" s="24">
        <f>IF($B19="",0,SUMIFS(tblTimeLog[Amount],tblTimeLog[Client],$B19,tblTimeLog[Date],"&gt;="&amp;J$16,tblTimeLog[Date],"&lt;"&amp;EDATE(J$16,1)))</f>
        <v>0</v>
      </c>
      <c r="K19" s="24">
        <f>IF($B19="",0,SUMIFS(tblTimeLog[Amount],tblTimeLog[Client],$B19,tblTimeLog[Date],"&gt;="&amp;K$16,tblTimeLog[Date],"&lt;"&amp;EDATE(K$16,1)))</f>
        <v>0</v>
      </c>
      <c r="L19" s="24">
        <f>IF($B19="",0,SUMIFS(tblTimeLog[Amount],tblTimeLog[Client],$B19,tblTimeLog[Date],"&gt;="&amp;L$16,tblTimeLog[Date],"&lt;"&amp;EDATE(L$16,1)))</f>
        <v>0</v>
      </c>
      <c r="M19" s="24">
        <f>IF($B19="",0,SUMIFS(tblTimeLog[Amount],tblTimeLog[Client],$B19,tblTimeLog[Date],"&gt;="&amp;M$16,tblTimeLog[Date],"&lt;"&amp;EDATE(M$16,1)))</f>
        <v>0</v>
      </c>
      <c r="N19" s="24">
        <f>IF($B19="",0,SUMIFS(tblTimeLog[Amount],tblTimeLog[Client],$B19,tblTimeLog[Date],"&gt;="&amp;N$16,tblTimeLog[Date],"&lt;"&amp;EDATE(N$16,1)))</f>
        <v>0</v>
      </c>
    </row>
    <row r="20" spans="2:14" x14ac:dyDescent="0.25">
      <c r="B20" t="str">
        <f t="shared" si="3"/>
        <v/>
      </c>
      <c r="C20" s="24">
        <f>IF($B20="",0,SUMIFS(tblTimeLog[Amount],tblTimeLog[Client],$B20,tblTimeLog[Date],"&gt;="&amp;C$16,tblTimeLog[Date],"&lt;"&amp;EDATE(C$16,1)))</f>
        <v>0</v>
      </c>
      <c r="D20" s="24">
        <f>IF($B20="",0,SUMIFS(tblTimeLog[Amount],tblTimeLog[Client],$B20,tblTimeLog[Date],"&gt;="&amp;D$16,tblTimeLog[Date],"&lt;"&amp;EDATE(D$16,1)))</f>
        <v>0</v>
      </c>
      <c r="E20" s="24">
        <f>IF($B20="",0,SUMIFS(tblTimeLog[Amount],tblTimeLog[Client],$B20,tblTimeLog[Date],"&gt;="&amp;E$16,tblTimeLog[Date],"&lt;"&amp;EDATE(E$16,1)))</f>
        <v>0</v>
      </c>
      <c r="F20" s="24">
        <f>IF($B20="",0,SUMIFS(tblTimeLog[Amount],tblTimeLog[Client],$B20,tblTimeLog[Date],"&gt;="&amp;F$16,tblTimeLog[Date],"&lt;"&amp;EDATE(F$16,1)))</f>
        <v>0</v>
      </c>
      <c r="G20" s="24">
        <f>IF($B20="",0,SUMIFS(tblTimeLog[Amount],tblTimeLog[Client],$B20,tblTimeLog[Date],"&gt;="&amp;G$16,tblTimeLog[Date],"&lt;"&amp;EDATE(G$16,1)))</f>
        <v>0</v>
      </c>
      <c r="H20" s="24">
        <f>IF($B20="",0,SUMIFS(tblTimeLog[Amount],tblTimeLog[Client],$B20,tblTimeLog[Date],"&gt;="&amp;H$16,tblTimeLog[Date],"&lt;"&amp;EDATE(H$16,1)))</f>
        <v>0</v>
      </c>
      <c r="I20" s="24">
        <f>IF($B20="",0,SUMIFS(tblTimeLog[Amount],tblTimeLog[Client],$B20,tblTimeLog[Date],"&gt;="&amp;I$16,tblTimeLog[Date],"&lt;"&amp;EDATE(I$16,1)))</f>
        <v>0</v>
      </c>
      <c r="J20" s="24">
        <f>IF($B20="",0,SUMIFS(tblTimeLog[Amount],tblTimeLog[Client],$B20,tblTimeLog[Date],"&gt;="&amp;J$16,tblTimeLog[Date],"&lt;"&amp;EDATE(J$16,1)))</f>
        <v>0</v>
      </c>
      <c r="K20" s="24">
        <f>IF($B20="",0,SUMIFS(tblTimeLog[Amount],tblTimeLog[Client],$B20,tblTimeLog[Date],"&gt;="&amp;K$16,tblTimeLog[Date],"&lt;"&amp;EDATE(K$16,1)))</f>
        <v>0</v>
      </c>
      <c r="L20" s="24">
        <f>IF($B20="",0,SUMIFS(tblTimeLog[Amount],tblTimeLog[Client],$B20,tblTimeLog[Date],"&gt;="&amp;L$16,tblTimeLog[Date],"&lt;"&amp;EDATE(L$16,1)))</f>
        <v>0</v>
      </c>
      <c r="M20" s="24">
        <f>IF($B20="",0,SUMIFS(tblTimeLog[Amount],tblTimeLog[Client],$B20,tblTimeLog[Date],"&gt;="&amp;M$16,tblTimeLog[Date],"&lt;"&amp;EDATE(M$16,1)))</f>
        <v>0</v>
      </c>
      <c r="N20" s="24">
        <f>IF($B20="",0,SUMIFS(tblTimeLog[Amount],tblTimeLog[Client],$B20,tblTimeLog[Date],"&gt;="&amp;N$16,tblTimeLog[Date],"&lt;"&amp;EDATE(N$16,1)))</f>
        <v>0</v>
      </c>
    </row>
    <row r="21" spans="2:14" x14ac:dyDescent="0.25">
      <c r="B21" t="str">
        <f t="shared" si="3"/>
        <v/>
      </c>
      <c r="C21" s="24">
        <f>IF($B21="",0,SUMIFS(tblTimeLog[Amount],tblTimeLog[Client],$B21,tblTimeLog[Date],"&gt;="&amp;C$16,tblTimeLog[Date],"&lt;"&amp;EDATE(C$16,1)))</f>
        <v>0</v>
      </c>
      <c r="D21" s="24">
        <f>IF($B21="",0,SUMIFS(tblTimeLog[Amount],tblTimeLog[Client],$B21,tblTimeLog[Date],"&gt;="&amp;D$16,tblTimeLog[Date],"&lt;"&amp;EDATE(D$16,1)))</f>
        <v>0</v>
      </c>
      <c r="E21" s="24">
        <f>IF($B21="",0,SUMIFS(tblTimeLog[Amount],tblTimeLog[Client],$B21,tblTimeLog[Date],"&gt;="&amp;E$16,tblTimeLog[Date],"&lt;"&amp;EDATE(E$16,1)))</f>
        <v>0</v>
      </c>
      <c r="F21" s="24">
        <f>IF($B21="",0,SUMIFS(tblTimeLog[Amount],tblTimeLog[Client],$B21,tblTimeLog[Date],"&gt;="&amp;F$16,tblTimeLog[Date],"&lt;"&amp;EDATE(F$16,1)))</f>
        <v>0</v>
      </c>
      <c r="G21" s="24">
        <f>IF($B21="",0,SUMIFS(tblTimeLog[Amount],tblTimeLog[Client],$B21,tblTimeLog[Date],"&gt;="&amp;G$16,tblTimeLog[Date],"&lt;"&amp;EDATE(G$16,1)))</f>
        <v>0</v>
      </c>
      <c r="H21" s="24">
        <f>IF($B21="",0,SUMIFS(tblTimeLog[Amount],tblTimeLog[Client],$B21,tblTimeLog[Date],"&gt;="&amp;H$16,tblTimeLog[Date],"&lt;"&amp;EDATE(H$16,1)))</f>
        <v>0</v>
      </c>
      <c r="I21" s="24">
        <f>IF($B21="",0,SUMIFS(tblTimeLog[Amount],tblTimeLog[Client],$B21,tblTimeLog[Date],"&gt;="&amp;I$16,tblTimeLog[Date],"&lt;"&amp;EDATE(I$16,1)))</f>
        <v>0</v>
      </c>
      <c r="J21" s="24">
        <f>IF($B21="",0,SUMIFS(tblTimeLog[Amount],tblTimeLog[Client],$B21,tblTimeLog[Date],"&gt;="&amp;J$16,tblTimeLog[Date],"&lt;"&amp;EDATE(J$16,1)))</f>
        <v>0</v>
      </c>
      <c r="K21" s="24">
        <f>IF($B21="",0,SUMIFS(tblTimeLog[Amount],tblTimeLog[Client],$B21,tblTimeLog[Date],"&gt;="&amp;K$16,tblTimeLog[Date],"&lt;"&amp;EDATE(K$16,1)))</f>
        <v>0</v>
      </c>
      <c r="L21" s="24">
        <f>IF($B21="",0,SUMIFS(tblTimeLog[Amount],tblTimeLog[Client],$B21,tblTimeLog[Date],"&gt;="&amp;L$16,tblTimeLog[Date],"&lt;"&amp;EDATE(L$16,1)))</f>
        <v>0</v>
      </c>
      <c r="M21" s="24">
        <f>IF($B21="",0,SUMIFS(tblTimeLog[Amount],tblTimeLog[Client],$B21,tblTimeLog[Date],"&gt;="&amp;M$16,tblTimeLog[Date],"&lt;"&amp;EDATE(M$16,1)))</f>
        <v>0</v>
      </c>
      <c r="N21" s="24">
        <f>IF($B21="",0,SUMIFS(tblTimeLog[Amount],tblTimeLog[Client],$B21,tblTimeLog[Date],"&gt;="&amp;N$16,tblTimeLog[Date],"&lt;"&amp;EDATE(N$16,1)))</f>
        <v>0</v>
      </c>
    </row>
    <row r="22" spans="2:14" x14ac:dyDescent="0.25">
      <c r="B22" t="str">
        <f t="shared" si="3"/>
        <v/>
      </c>
      <c r="C22" s="24">
        <f>IF($B22="",0,SUMIFS(tblTimeLog[Amount],tblTimeLog[Client],$B22,tblTimeLog[Date],"&gt;="&amp;C$16,tblTimeLog[Date],"&lt;"&amp;EDATE(C$16,1)))</f>
        <v>0</v>
      </c>
      <c r="D22" s="24">
        <f>IF($B22="",0,SUMIFS(tblTimeLog[Amount],tblTimeLog[Client],$B22,tblTimeLog[Date],"&gt;="&amp;D$16,tblTimeLog[Date],"&lt;"&amp;EDATE(D$16,1)))</f>
        <v>0</v>
      </c>
      <c r="E22" s="24">
        <f>IF($B22="",0,SUMIFS(tblTimeLog[Amount],tblTimeLog[Client],$B22,tblTimeLog[Date],"&gt;="&amp;E$16,tblTimeLog[Date],"&lt;"&amp;EDATE(E$16,1)))</f>
        <v>0</v>
      </c>
      <c r="F22" s="24">
        <f>IF($B22="",0,SUMIFS(tblTimeLog[Amount],tblTimeLog[Client],$B22,tblTimeLog[Date],"&gt;="&amp;F$16,tblTimeLog[Date],"&lt;"&amp;EDATE(F$16,1)))</f>
        <v>0</v>
      </c>
      <c r="G22" s="24">
        <f>IF($B22="",0,SUMIFS(tblTimeLog[Amount],tblTimeLog[Client],$B22,tblTimeLog[Date],"&gt;="&amp;G$16,tblTimeLog[Date],"&lt;"&amp;EDATE(G$16,1)))</f>
        <v>0</v>
      </c>
      <c r="H22" s="24">
        <f>IF($B22="",0,SUMIFS(tblTimeLog[Amount],tblTimeLog[Client],$B22,tblTimeLog[Date],"&gt;="&amp;H$16,tblTimeLog[Date],"&lt;"&amp;EDATE(H$16,1)))</f>
        <v>0</v>
      </c>
      <c r="I22" s="24">
        <f>IF($B22="",0,SUMIFS(tblTimeLog[Amount],tblTimeLog[Client],$B22,tblTimeLog[Date],"&gt;="&amp;I$16,tblTimeLog[Date],"&lt;"&amp;EDATE(I$16,1)))</f>
        <v>0</v>
      </c>
      <c r="J22" s="24">
        <f>IF($B22="",0,SUMIFS(tblTimeLog[Amount],tblTimeLog[Client],$B22,tblTimeLog[Date],"&gt;="&amp;J$16,tblTimeLog[Date],"&lt;"&amp;EDATE(J$16,1)))</f>
        <v>0</v>
      </c>
      <c r="K22" s="24">
        <f>IF($B22="",0,SUMIFS(tblTimeLog[Amount],tblTimeLog[Client],$B22,tblTimeLog[Date],"&gt;="&amp;K$16,tblTimeLog[Date],"&lt;"&amp;EDATE(K$16,1)))</f>
        <v>0</v>
      </c>
      <c r="L22" s="24">
        <f>IF($B22="",0,SUMIFS(tblTimeLog[Amount],tblTimeLog[Client],$B22,tblTimeLog[Date],"&gt;="&amp;L$16,tblTimeLog[Date],"&lt;"&amp;EDATE(L$16,1)))</f>
        <v>0</v>
      </c>
      <c r="M22" s="24">
        <f>IF($B22="",0,SUMIFS(tblTimeLog[Amount],tblTimeLog[Client],$B22,tblTimeLog[Date],"&gt;="&amp;M$16,tblTimeLog[Date],"&lt;"&amp;EDATE(M$16,1)))</f>
        <v>0</v>
      </c>
      <c r="N22" s="24">
        <f>IF($B22="",0,SUMIFS(tblTimeLog[Amount],tblTimeLog[Client],$B22,tblTimeLog[Date],"&gt;="&amp;N$16,tblTimeLog[Date],"&lt;"&amp;EDATE(N$16,1)))</f>
        <v>0</v>
      </c>
    </row>
    <row r="23" spans="2:14" x14ac:dyDescent="0.25">
      <c r="B23" s="6" t="s">
        <v>30</v>
      </c>
      <c r="C23" s="24">
        <f ca="1">SUM(C17:C22)</f>
        <v>0</v>
      </c>
      <c r="D23" s="24">
        <f t="shared" ref="D23:N23" ca="1" si="4">SUM(D17:D22)</f>
        <v>0</v>
      </c>
      <c r="E23" s="24">
        <f t="shared" ca="1" si="4"/>
        <v>0</v>
      </c>
      <c r="F23" s="24">
        <f t="shared" ca="1" si="4"/>
        <v>0</v>
      </c>
      <c r="G23" s="24">
        <f t="shared" ca="1" si="4"/>
        <v>0</v>
      </c>
      <c r="H23" s="24">
        <f t="shared" ca="1" si="4"/>
        <v>0</v>
      </c>
      <c r="I23" s="24">
        <f t="shared" ca="1" si="4"/>
        <v>0</v>
      </c>
      <c r="J23" s="24">
        <f t="shared" ca="1" si="4"/>
        <v>0</v>
      </c>
      <c r="K23" s="24">
        <f t="shared" ca="1" si="4"/>
        <v>0</v>
      </c>
      <c r="L23" s="24">
        <f t="shared" ca="1" si="4"/>
        <v>0</v>
      </c>
      <c r="M23" s="24">
        <f t="shared" ca="1" si="4"/>
        <v>0</v>
      </c>
      <c r="N23" s="24">
        <f t="shared" ca="1" si="4"/>
        <v>0</v>
      </c>
    </row>
  </sheetData>
  <sheetProtection sheet="1" objects="1" scenarios="1"/>
  <conditionalFormatting sqref="C6:N11">
    <cfRule type="colorScale" priority="1">
      <colorScale>
        <cfvo type="min"/>
        <cfvo type="max"/>
        <color rgb="FFFFFFFF"/>
        <color rgb="FFB2DFDB"/>
      </colorScale>
    </cfRule>
  </conditionalFormatting>
  <conditionalFormatting sqref="C17:N22">
    <cfRule type="colorScale" priority="2">
      <colorScale>
        <cfvo type="min"/>
        <cfvo type="max"/>
        <color rgb="FFFFFFFF"/>
        <color rgb="FFB2DFD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4BEE1-2D19-4A02-BA37-6AEA347FBF5B}">
  <sheetPr codeName="wshClients">
    <tabColor rgb="FF6B7280"/>
  </sheetPr>
  <dimension ref="A1:D1000"/>
  <sheetViews>
    <sheetView showGridLines="0" workbookViewId="0"/>
  </sheetViews>
  <sheetFormatPr defaultRowHeight="15" x14ac:dyDescent="0.25"/>
  <cols>
    <col min="1" max="1" width="26.7109375" customWidth="1"/>
    <col min="2" max="2" width="14.7109375" customWidth="1"/>
    <col min="4" max="4" width="70.7109375" customWidth="1"/>
  </cols>
  <sheetData>
    <row r="1" spans="1:4" x14ac:dyDescent="0.25">
      <c r="A1" s="2" t="s">
        <v>0</v>
      </c>
      <c r="B1" s="2" t="s">
        <v>1</v>
      </c>
    </row>
    <row r="2" spans="1:4" x14ac:dyDescent="0.25">
      <c r="A2" t="s">
        <v>2</v>
      </c>
      <c r="B2" s="1"/>
      <c r="D2" s="3" t="s">
        <v>4</v>
      </c>
    </row>
    <row r="3" spans="1:4" x14ac:dyDescent="0.25">
      <c r="A3" t="s">
        <v>3</v>
      </c>
      <c r="B3" s="1"/>
    </row>
    <row r="4" spans="1:4" x14ac:dyDescent="0.25">
      <c r="B4" s="1"/>
    </row>
    <row r="5" spans="1:4" x14ac:dyDescent="0.25">
      <c r="B5" s="1"/>
    </row>
    <row r="6" spans="1:4" x14ac:dyDescent="0.25">
      <c r="B6" s="1"/>
    </row>
    <row r="7" spans="1:4" x14ac:dyDescent="0.25">
      <c r="B7" s="1"/>
    </row>
    <row r="8" spans="1:4" x14ac:dyDescent="0.25">
      <c r="B8" s="1"/>
    </row>
    <row r="9" spans="1:4" x14ac:dyDescent="0.25">
      <c r="B9" s="1"/>
    </row>
    <row r="10" spans="1:4" x14ac:dyDescent="0.25">
      <c r="B10" s="1"/>
    </row>
    <row r="11" spans="1:4" x14ac:dyDescent="0.25">
      <c r="B11" s="1"/>
    </row>
    <row r="12" spans="1:4" x14ac:dyDescent="0.25">
      <c r="B12" s="1"/>
    </row>
    <row r="13" spans="1:4" x14ac:dyDescent="0.25">
      <c r="B13" s="1"/>
    </row>
    <row r="14" spans="1:4" x14ac:dyDescent="0.25">
      <c r="B14" s="1"/>
    </row>
    <row r="15" spans="1:4" x14ac:dyDescent="0.25">
      <c r="B15" s="1"/>
    </row>
    <row r="16" spans="1:4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2B0C7-8CEE-4B23-87A6-ACDCA421315F}">
  <sheetPr codeName="wshSettings">
    <tabColor rgb="FF6B7280"/>
  </sheetPr>
  <dimension ref="B2:C13"/>
  <sheetViews>
    <sheetView showGridLines="0" workbookViewId="0"/>
  </sheetViews>
  <sheetFormatPr defaultRowHeight="15" x14ac:dyDescent="0.25"/>
  <cols>
    <col min="1" max="1" width="2.7109375" customWidth="1"/>
    <col min="2" max="2" width="36.7109375" customWidth="1"/>
    <col min="3" max="3" width="26.7109375" customWidth="1"/>
  </cols>
  <sheetData>
    <row r="2" spans="2:3" ht="21" x14ac:dyDescent="0.35">
      <c r="B2" s="4" t="s">
        <v>5</v>
      </c>
    </row>
    <row r="4" spans="2:3" x14ac:dyDescent="0.25">
      <c r="B4" t="s">
        <v>6</v>
      </c>
      <c r="C4" s="5" t="s">
        <v>7</v>
      </c>
    </row>
    <row r="5" spans="2:3" x14ac:dyDescent="0.25">
      <c r="B5" t="s">
        <v>8</v>
      </c>
      <c r="C5" s="5" t="b">
        <v>1</v>
      </c>
    </row>
    <row r="8" spans="2:3" x14ac:dyDescent="0.25">
      <c r="B8" s="7" t="s">
        <v>9</v>
      </c>
    </row>
    <row r="9" spans="2:3" x14ac:dyDescent="0.25">
      <c r="B9" s="8" t="s">
        <v>10</v>
      </c>
      <c r="C9" s="8" t="s">
        <v>11</v>
      </c>
    </row>
    <row r="10" spans="2:3" x14ac:dyDescent="0.25">
      <c r="B10" s="8" t="s">
        <v>12</v>
      </c>
      <c r="C10" s="9"/>
    </row>
    <row r="11" spans="2:3" x14ac:dyDescent="0.25">
      <c r="B11" s="8" t="s">
        <v>0</v>
      </c>
      <c r="C11" s="8"/>
    </row>
    <row r="12" spans="2:3" x14ac:dyDescent="0.25">
      <c r="B12" s="8" t="s">
        <v>13</v>
      </c>
      <c r="C12" s="8"/>
    </row>
    <row r="13" spans="2:3" x14ac:dyDescent="0.25">
      <c r="B13" s="8" t="s">
        <v>14</v>
      </c>
      <c r="C13" s="8" t="b">
        <v>0</v>
      </c>
    </row>
  </sheetData>
  <sheetProtection sheet="1" objects="1" scenarios="1"/>
  <dataValidations count="1">
    <dataValidation type="list" allowBlank="1" showInputMessage="1" showErrorMessage="1" sqref="C5" xr:uid="{11E06B21-5AD3-4D50-86BE-4338C278E8DD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Dashboard</vt:lpstr>
      <vt:lpstr>Time Log</vt:lpstr>
      <vt:lpstr>Report</vt:lpstr>
      <vt:lpstr>Summary</vt:lpstr>
      <vt:lpstr>Clients</vt:lpstr>
      <vt:lpstr>Settings</vt:lpstr>
      <vt:lpstr>dbClient</vt:lpstr>
      <vt:lpstr>dbElapsed</vt:lpstr>
      <vt:lpstr>dbStatus</vt:lpstr>
      <vt:lpstr>dbTask</vt:lpstr>
      <vt:lpstr>Report!Print_Area</vt:lpstr>
      <vt:lpstr>Report!Print_Titles</vt:lpstr>
      <vt:lpstr>stCurrentClient</vt:lpstr>
      <vt:lpstr>stCurrentTask</vt:lpstr>
      <vt:lpstr>stFreelancerName</vt:lpstr>
      <vt:lpstr>stReportShowAmounts</vt:lpstr>
      <vt:lpstr>stSilentMode</vt:lpstr>
      <vt:lpstr>stStartTime</vt:lpstr>
      <vt:lpstr>stTimerStatus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Riccardo Tedesco</dc:creator>
  <cp:lastModifiedBy>Riccardo Tedesco</cp:lastModifiedBy>
  <dcterms:created xsi:type="dcterms:W3CDTF">2026-07-05T09:07:46Z</dcterms:created>
  <dcterms:modified xsi:type="dcterms:W3CDTF">2026-07-05T09:07:49Z</dcterms:modified>
</cp:coreProperties>
</file>